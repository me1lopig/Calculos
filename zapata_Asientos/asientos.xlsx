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os\Desarrollo\Python\CalculoPilotes\zapata_Asientos\"/>
    </mc:Choice>
  </mc:AlternateContent>
  <xr:revisionPtr revIDLastSave="0" documentId="13_ncr:1_{F7AA95FF-E51F-4876-90F4-15A58E6FCF44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C11" i="1"/>
  <c r="C21" i="1" s="1"/>
  <c r="C10" i="1"/>
  <c r="A20" i="1"/>
  <c r="A21" i="1"/>
  <c r="A19" i="1"/>
  <c r="C19" i="1"/>
  <c r="C20" i="1"/>
  <c r="D9" i="1"/>
  <c r="B11" i="1"/>
  <c r="B21" i="1" s="1"/>
  <c r="D21" i="1" s="1"/>
  <c r="B10" i="1"/>
  <c r="D10" i="1" s="1"/>
  <c r="D19" i="1" l="1"/>
  <c r="D11" i="1"/>
  <c r="B20" i="1"/>
  <c r="D20" i="1" s="1"/>
</calcChain>
</file>

<file path=xl/sharedStrings.xml><?xml version="1.0" encoding="utf-8"?>
<sst xmlns="http://schemas.openxmlformats.org/spreadsheetml/2006/main" count="26" uniqueCount="20">
  <si>
    <t>B=</t>
  </si>
  <si>
    <t>L=</t>
  </si>
  <si>
    <t>q=</t>
  </si>
  <si>
    <t>m</t>
  </si>
  <si>
    <t>kPa</t>
  </si>
  <si>
    <t>UG-01</t>
  </si>
  <si>
    <t>UG-02</t>
  </si>
  <si>
    <t>UG-03</t>
  </si>
  <si>
    <t>zi</t>
  </si>
  <si>
    <t>zf</t>
  </si>
  <si>
    <t>Potencia</t>
  </si>
  <si>
    <t>E kPa</t>
  </si>
  <si>
    <t>nu</t>
  </si>
  <si>
    <t>n</t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</si>
  <si>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2</t>
    </r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</si>
  <si>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1"/>
        <charset val="2"/>
        <scheme val="minor"/>
      </rPr>
      <t>1</t>
    </r>
  </si>
  <si>
    <t>si</t>
  </si>
  <si>
    <t>si+1</t>
  </si>
  <si>
    <t>i</t>
  </si>
  <si>
    <t>i+1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</si>
</sst>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3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571500</xdr:colOff>
      <xdr:row>1</xdr:row>
      <xdr:rowOff>66675</xdr:rowOff>
    </xdr:from>
    <xdr:to>
      <xdr:col>16</xdr:col>
      <xdr:colOff>389862</xdr:colOff>
      <xdr:row>16</xdr:row>
      <xdr:rowOff>104413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AC8FB9-DEE5-1E8C-5655-F292D76D4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8700" y="257175"/>
          <a:ext cx="5304762" cy="28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3:I22"/>
  <sheetViews>
    <sheetView tabSelected="1" topLeftCell="F1" workbookViewId="0">
      <selection activeCell="B5" sqref="B5"/>
    </sheetView>
  </sheetViews>
  <sheetFormatPr baseColWidth="10" defaultColWidth="9.140625" defaultRowHeight="15"/>
  <cols>
    <col min="4" max="4" width="8.7109375" bestFit="1" customWidth="1"/>
  </cols>
  <sheetData>
    <row r="3" spans="1:6">
      <c r="A3" t="s">
        <v>0</v>
      </c>
      <c r="B3">
        <v>2</v>
      </c>
      <c r="C3" t="s">
        <v>3</v>
      </c>
    </row>
    <row r="4" spans="1:6">
      <c r="A4" t="s">
        <v>1</v>
      </c>
      <c r="B4">
        <v>2</v>
      </c>
      <c r="C4" t="s">
        <v>3</v>
      </c>
    </row>
    <row r="5" spans="1:6">
      <c r="A5" t="s">
        <v>2</v>
      </c>
      <c r="B5">
        <v>150</v>
      </c>
      <c r="C5" t="s">
        <v>4</v>
      </c>
    </row>
    <row r="7" spans="1:6">
      <c r="B7" s="5" t="s">
        <v>3</v>
      </c>
      <c r="C7" s="5"/>
      <c r="D7" s="5"/>
    </row>
    <row r="8" spans="1:6"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</row>
    <row r="9" spans="1:6">
      <c r="A9" t="s">
        <v>5</v>
      </c>
      <c r="B9" s="1">
        <v>1E-3</v>
      </c>
      <c r="C9" s="1">
        <v>1.5</v>
      </c>
      <c r="D9" s="1">
        <f>C9-B9</f>
        <v>1.4990000000000001</v>
      </c>
      <c r="E9">
        <v>10000</v>
      </c>
      <c r="F9" s="1">
        <v>0.3</v>
      </c>
    </row>
    <row r="10" spans="1:6">
      <c r="A10" t="s">
        <v>6</v>
      </c>
      <c r="B10" s="1">
        <f>C9</f>
        <v>1.5</v>
      </c>
      <c r="C10" s="1">
        <f>+B10+3</f>
        <v>4.5</v>
      </c>
      <c r="D10" s="1">
        <f t="shared" ref="D10:D11" si="0">C10-B10</f>
        <v>3</v>
      </c>
      <c r="E10">
        <v>5000</v>
      </c>
      <c r="F10" s="1">
        <v>0.45</v>
      </c>
    </row>
    <row r="11" spans="1:6">
      <c r="A11" t="s">
        <v>7</v>
      </c>
      <c r="B11" s="1">
        <f>C10</f>
        <v>4.5</v>
      </c>
      <c r="C11" s="1">
        <f>B11+5</f>
        <v>9.5</v>
      </c>
      <c r="D11" s="1">
        <f t="shared" si="0"/>
        <v>5</v>
      </c>
      <c r="E11">
        <v>40000</v>
      </c>
      <c r="F11" s="1">
        <v>0.25</v>
      </c>
    </row>
    <row r="17" spans="1:9">
      <c r="B17" s="1" t="s">
        <v>18</v>
      </c>
      <c r="C17" s="1" t="s">
        <v>19</v>
      </c>
    </row>
    <row r="18" spans="1:9">
      <c r="A18" s="1" t="s">
        <v>13</v>
      </c>
      <c r="B18" s="2" t="s">
        <v>3</v>
      </c>
      <c r="C18" s="2" t="s">
        <v>3</v>
      </c>
      <c r="D18" s="4" t="s">
        <v>15</v>
      </c>
      <c r="E18" s="4" t="s">
        <v>14</v>
      </c>
      <c r="F18" s="4" t="s">
        <v>15</v>
      </c>
      <c r="G18" s="4" t="s">
        <v>14</v>
      </c>
      <c r="H18" s="4" t="s">
        <v>16</v>
      </c>
      <c r="I18" s="4" t="s">
        <v>17</v>
      </c>
    </row>
    <row r="19" spans="1:9">
      <c r="A19" s="1">
        <f>$B$4/$B$3</f>
        <v>1</v>
      </c>
      <c r="B19" s="3">
        <f>2*B9/$B$3</f>
        <v>1E-3</v>
      </c>
      <c r="C19" s="3">
        <f>2*C9/$B$3</f>
        <v>1.5</v>
      </c>
      <c r="D19" s="6">
        <f>(LN((SQRT(1+$A$19^2+B19^2)+$A$19)/(SQRT(1+$A$19^2+B19^2)-$A$19))+$A$19*LN((SQRT(1+$A$19^2+B19^2)+1)/(SQRT(1+$A$19^2+B19^2))-1))</f>
        <v>1.4161726266528365</v>
      </c>
      <c r="E19" s="2"/>
    </row>
    <row r="20" spans="1:9">
      <c r="A20" s="1">
        <f t="shared" ref="A20:A21" si="1">$B$4/$B$3</f>
        <v>1</v>
      </c>
      <c r="B20" s="3">
        <f t="shared" ref="B20:C20" si="2">2*B10/$B$3</f>
        <v>1.5</v>
      </c>
      <c r="C20" s="3">
        <f t="shared" si="2"/>
        <v>4.5</v>
      </c>
      <c r="D20" s="6">
        <f t="shared" ref="D20:D21" si="3">(LN((SQRT(1+$A$19^2+B20^2)+$A$19)/(SQRT(1+$A$19^2+B20^2)-$A$19))+$A$19*LN((SQRT(1+$A$19^2+B20^2)+1)/(SQRT(1+$A$19^2+B20^2))-1))</f>
        <v>0.33572999702767647</v>
      </c>
      <c r="E20" s="2"/>
    </row>
    <row r="21" spans="1:9">
      <c r="A21" s="1">
        <f t="shared" si="1"/>
        <v>1</v>
      </c>
      <c r="B21" s="3">
        <f t="shared" ref="B21:C21" si="4">2*B11/$B$3</f>
        <v>4.5</v>
      </c>
      <c r="C21" s="3">
        <f t="shared" si="4"/>
        <v>9.5</v>
      </c>
      <c r="D21" s="6">
        <f>(LN((SQRT(1+$A$19^2+B21^2)+$A$19)/(SQRT(1+$A$19^2+B21^2)-$A$19))+$A$19*LN((SQRT(1+$A$19^2+B21^2)+1)/(SQRT(1+$A$19^2+B21^2))-1))</f>
        <v>-1.1206428154380457</v>
      </c>
      <c r="E21" s="2"/>
    </row>
    <row r="22" spans="1:9">
      <c r="A22" s="2"/>
      <c r="B22" s="2"/>
      <c r="C22" s="2"/>
      <c r="D22" s="2"/>
      <c r="E22" s="2"/>
    </row>
  </sheetData>
  <mergeCells count="1">
    <mergeCell ref="B7:D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López Pineda</dc:creator>
  <cp:lastModifiedBy>Germán  López Pineda</cp:lastModifiedBy>
  <dcterms:created xsi:type="dcterms:W3CDTF">2015-06-05T18:19:34Z</dcterms:created>
  <dcterms:modified xsi:type="dcterms:W3CDTF">2026-03-17T18:23:52Z</dcterms:modified>
</cp:coreProperties>
</file>