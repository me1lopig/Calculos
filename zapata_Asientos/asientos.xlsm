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Desarrollo\Python\CalculoPilotes\zapata_Asientos\"/>
    </mc:Choice>
  </mc:AlternateContent>
  <xr:revisionPtr revIDLastSave="0" documentId="13_ncr:1_{3B3F4804-5725-4C8A-B708-B21E0C7380D8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Un suelo" sheetId="3" r:id="rId1"/>
    <sheet name="Dos suelos" sheetId="4" r:id="rId2"/>
    <sheet name="Tres suelos" sheetId="1" r:id="rId3"/>
    <sheet name="Pruebas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4" i="1"/>
  <c r="C20" i="1" s="1"/>
  <c r="B5" i="4"/>
  <c r="B4" i="4"/>
  <c r="B21" i="4" s="1"/>
  <c r="B5" i="3"/>
  <c r="B4" i="3"/>
  <c r="C20" i="3" s="1"/>
  <c r="C11" i="4"/>
  <c r="D10" i="4"/>
  <c r="D10" i="1"/>
  <c r="D10" i="3"/>
  <c r="B20" i="1"/>
  <c r="A22" i="1"/>
  <c r="B21" i="1"/>
  <c r="C11" i="1"/>
  <c r="D11" i="1" s="1"/>
  <c r="C21" i="4" l="1"/>
  <c r="A20" i="4"/>
  <c r="B20" i="4"/>
  <c r="C20" i="4"/>
  <c r="A21" i="4"/>
  <c r="B20" i="3"/>
  <c r="D11" i="4"/>
  <c r="C21" i="1"/>
  <c r="A20" i="1"/>
  <c r="A21" i="1"/>
  <c r="A20" i="3"/>
  <c r="B12" i="1"/>
  <c r="F21" i="4" a="1"/>
  <c r="G21" i="4" a="1"/>
  <c r="D21" i="4" a="1"/>
  <c r="E21" i="4" a="1"/>
  <c r="E20" i="4" a="1"/>
  <c r="D20" i="4" a="1"/>
  <c r="F20" i="4" a="1"/>
  <c r="G20" i="4" a="1"/>
  <c r="F20" i="1" a="1"/>
  <c r="E20" i="1" a="1"/>
  <c r="G20" i="1" a="1"/>
  <c r="D20" i="1" a="1"/>
  <c r="D21" i="1" a="1"/>
  <c r="E21" i="1" a="1"/>
  <c r="G21" i="1" a="1"/>
  <c r="F21" i="1" a="1"/>
  <c r="E20" i="3" a="1"/>
  <c r="D20" i="3" a="1"/>
  <c r="F20" i="3" a="1"/>
  <c r="G20" i="3" a="1"/>
  <c r="G20" i="4" l="1"/>
  <c r="F20" i="4"/>
  <c r="D20" i="4"/>
  <c r="E20" i="4"/>
  <c r="E21" i="4"/>
  <c r="D21" i="4"/>
  <c r="G21" i="4"/>
  <c r="F21" i="4"/>
  <c r="C12" i="1"/>
  <c r="B22" i="1"/>
  <c r="D20" i="1"/>
  <c r="G20" i="1"/>
  <c r="E20" i="1"/>
  <c r="F20" i="1"/>
  <c r="D20" i="3"/>
  <c r="E20" i="3"/>
  <c r="G20" i="3"/>
  <c r="F20" i="3"/>
  <c r="F21" i="1"/>
  <c r="G21" i="1"/>
  <c r="D21" i="1"/>
  <c r="E21" i="1"/>
  <c r="I20" i="4" a="1"/>
  <c r="H21" i="4" a="1"/>
  <c r="I21" i="4" a="1"/>
  <c r="H20" i="4" a="1"/>
  <c r="I20" i="1" a="1"/>
  <c r="H20" i="1" a="1"/>
  <c r="H21" i="1" a="1"/>
  <c r="I21" i="1" a="1"/>
  <c r="E22" i="1" a="1"/>
  <c r="D22" i="1" a="1"/>
  <c r="H20" i="3" a="1"/>
  <c r="I20" i="3" a="1"/>
  <c r="H20" i="4" l="1"/>
  <c r="J20" i="4" s="1"/>
  <c r="I21" i="4"/>
  <c r="H21" i="4"/>
  <c r="I20" i="4"/>
  <c r="D14" i="4"/>
  <c r="J21" i="4"/>
  <c r="D12" i="1"/>
  <c r="D14" i="1" s="1"/>
  <c r="C22" i="1"/>
  <c r="H20" i="1"/>
  <c r="I20" i="1"/>
  <c r="J20" i="1" s="1"/>
  <c r="I20" i="3"/>
  <c r="H20" i="3"/>
  <c r="D22" i="1"/>
  <c r="E22" i="1"/>
  <c r="I21" i="1"/>
  <c r="H21" i="1"/>
  <c r="G22" i="1" a="1"/>
  <c r="F22" i="1" a="1"/>
  <c r="H22" i="1" a="1"/>
  <c r="J24" i="4" l="1"/>
  <c r="J20" i="3"/>
  <c r="F22" i="1"/>
  <c r="G22" i="1"/>
  <c r="H22" i="1"/>
  <c r="J21" i="1"/>
  <c r="I22" i="1" a="1"/>
  <c r="J25" i="4" l="1"/>
  <c r="J27" i="4" s="1"/>
  <c r="J25" i="3"/>
  <c r="J26" i="3" s="1"/>
  <c r="J28" i="3" s="1"/>
  <c r="I22" i="1"/>
  <c r="J22" i="1" s="1"/>
  <c r="J25" i="1" s="1"/>
  <c r="J26" i="1" s="1"/>
  <c r="J2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<sst xmlns="http://schemas.openxmlformats.org/spreadsheetml/2006/main" count="122" uniqueCount="39">
  <si>
    <t>B=</t>
  </si>
  <si>
    <t>L=</t>
  </si>
  <si>
    <t>q=</t>
  </si>
  <si>
    <t>m</t>
  </si>
  <si>
    <t>kPa</t>
  </si>
  <si>
    <t>UG-01</t>
  </si>
  <si>
    <t>UG-02</t>
  </si>
  <si>
    <t>UG-03</t>
  </si>
  <si>
    <t>zi</t>
  </si>
  <si>
    <t>zf</t>
  </si>
  <si>
    <t>Potencia</t>
  </si>
  <si>
    <t>E kPa</t>
  </si>
  <si>
    <t>nu</t>
  </si>
  <si>
    <t>n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</si>
  <si>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2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</si>
  <si>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1"/>
        <charset val="2"/>
        <scheme val="minor"/>
      </rPr>
      <t>1</t>
    </r>
  </si>
  <si>
    <t>si</t>
  </si>
  <si>
    <t>si+1</t>
  </si>
  <si>
    <t>i</t>
  </si>
  <si>
    <t>i+1</t>
  </si>
  <si>
    <t>s</t>
  </si>
  <si>
    <t>suma</t>
  </si>
  <si>
    <t>B/2=</t>
  </si>
  <si>
    <t>L/2=</t>
  </si>
  <si>
    <t>s=</t>
  </si>
  <si>
    <t>mm</t>
  </si>
  <si>
    <t>m=z/B</t>
  </si>
  <si>
    <t>n=L/B</t>
  </si>
  <si>
    <t>Total</t>
  </si>
  <si>
    <t>P-01</t>
  </si>
  <si>
    <t>E-01</t>
  </si>
  <si>
    <t>P-02</t>
  </si>
  <si>
    <t>P-03</t>
  </si>
  <si>
    <t>E-02</t>
  </si>
  <si>
    <t>S(mm) GC</t>
  </si>
  <si>
    <t>s(mm) cal</t>
  </si>
  <si>
    <t>Sólo se considera el cálculo de zapata flexible</t>
  </si>
  <si>
    <t>Se ha considerado un bulbo quizá de ahí la diferencia</t>
  </si>
  <si>
    <t>x0,8 para rigida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</si>
</sst>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3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571500</xdr:colOff>
      <xdr:row>2</xdr:row>
      <xdr:rowOff>66675</xdr:rowOff>
    </xdr:from>
    <xdr:to>
      <xdr:col>16</xdr:col>
      <xdr:colOff>389862</xdr:colOff>
      <xdr:row>13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74DBDDC-6420-4C65-96CB-3FA6142C44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9926"/>
        <a:stretch>
          <a:fillRect/>
        </a:stretch>
      </xdr:blipFill>
      <xdr:spPr>
        <a:xfrm>
          <a:off x="4857750" y="257175"/>
          <a:ext cx="5304762" cy="2028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571500</xdr:colOff>
      <xdr:row>2</xdr:row>
      <xdr:rowOff>66675</xdr:rowOff>
    </xdr:from>
    <xdr:to>
      <xdr:col>16</xdr:col>
      <xdr:colOff>389862</xdr:colOff>
      <xdr:row>13</xdr:row>
      <xdr:rowOff>104775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9E8FEC6-7CD9-4BA2-A75E-9DBB18865D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6307"/>
        <a:stretch>
          <a:fillRect/>
        </a:stretch>
      </xdr:blipFill>
      <xdr:spPr>
        <a:xfrm>
          <a:off x="4857750" y="257175"/>
          <a:ext cx="5304762" cy="2133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571500</xdr:colOff>
      <xdr:row>2</xdr:row>
      <xdr:rowOff>66675</xdr:rowOff>
    </xdr:from>
    <xdr:to>
      <xdr:col>16</xdr:col>
      <xdr:colOff>389862</xdr:colOff>
      <xdr:row>13</xdr:row>
      <xdr:rowOff>104775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AC8FB9-DEE5-1E8C-5655-F292D76D4B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6307"/>
        <a:stretch>
          <a:fillRect/>
        </a:stretch>
      </xdr:blipFill>
      <xdr:spPr>
        <a:xfrm>
          <a:off x="4857750" y="257175"/>
          <a:ext cx="5304762" cy="2133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120454</xdr:colOff>
      <xdr:row>0</xdr:row>
      <xdr:rowOff>0</xdr:rowOff>
    </xdr:from>
    <xdr:to>
      <xdr:col>8</xdr:col>
      <xdr:colOff>580064</xdr:colOff>
      <xdr:row>22</xdr:row>
      <xdr:rowOff>8829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088A34D-25CE-FC46-FFD5-65DB38D71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454" y="0"/>
          <a:ext cx="5793610" cy="41998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7879-74E1-4BE2-886A-2FC6B52CCBB2}">
  <sheetPr codeName="Hoja3"/>
  <dimension ref="A1:K28"/>
  <sheetViews>
    <sheetView topLeftCell="A10" zoomScaleNormal="100" workbookViewId="0">
      <selection activeCell="G26" sqref="G26"/>
    </sheetView>
  </sheetViews>
  <sheetFormatPr baseColWidth="10" defaultColWidth="9.140625" defaultRowHeight="15"/>
  <cols>
    <col min="4" max="4" width="9.42578125" bestFit="1" customWidth="1"/>
  </cols>
  <sheetData>
    <row r="1" spans="1:10">
      <c r="A1" t="s">
        <v>0</v>
      </c>
      <c r="B1">
        <v>3</v>
      </c>
      <c r="C1" t="s">
        <v>3</v>
      </c>
    </row>
    <row r="2" spans="1:10">
      <c r="A2" t="s">
        <v>1</v>
      </c>
      <c r="B2">
        <v>2</v>
      </c>
      <c r="C2" t="s">
        <v>3</v>
      </c>
    </row>
    <row r="4" spans="1:10">
      <c r="A4" t="s">
        <v>22</v>
      </c>
      <c r="B4">
        <f>0.5*B1</f>
        <v>1.5</v>
      </c>
      <c r="C4" t="s">
        <v>3</v>
      </c>
    </row>
    <row r="5" spans="1:10">
      <c r="A5" t="s">
        <v>23</v>
      </c>
      <c r="B5">
        <f>0.5*B2</f>
        <v>1</v>
      </c>
      <c r="C5" t="s">
        <v>3</v>
      </c>
    </row>
    <row r="6" spans="1:10">
      <c r="A6" t="s">
        <v>2</v>
      </c>
      <c r="B6">
        <v>150</v>
      </c>
      <c r="C6" t="s">
        <v>4</v>
      </c>
    </row>
    <row r="8" spans="1:10">
      <c r="B8" s="9" t="s">
        <v>3</v>
      </c>
      <c r="C8" s="9"/>
      <c r="D8" s="9"/>
    </row>
    <row r="9" spans="1:10">
      <c r="A9" s="1"/>
      <c r="B9" s="1" t="s">
        <v>8</v>
      </c>
      <c r="C9" s="1" t="s">
        <v>9</v>
      </c>
      <c r="D9" s="1" t="s">
        <v>10</v>
      </c>
      <c r="E9" s="1" t="s">
        <v>11</v>
      </c>
      <c r="F9" s="1" t="s">
        <v>12</v>
      </c>
    </row>
    <row r="10" spans="1:10">
      <c r="A10" s="1" t="s">
        <v>5</v>
      </c>
      <c r="B10" s="1">
        <v>0</v>
      </c>
      <c r="C10" s="1">
        <v>4.75</v>
      </c>
      <c r="D10" s="1">
        <f>C10-B10</f>
        <v>4.75</v>
      </c>
      <c r="E10" s="1">
        <v>10000</v>
      </c>
      <c r="F10" s="1">
        <v>0.3</v>
      </c>
    </row>
    <row r="11" spans="1:10">
      <c r="B11" s="1"/>
      <c r="C11" s="1"/>
      <c r="D11" s="1"/>
      <c r="F11" s="1"/>
    </row>
    <row r="12" spans="1:10">
      <c r="B12" s="1"/>
      <c r="C12" s="1"/>
      <c r="D12" s="1"/>
      <c r="F12" s="1"/>
    </row>
    <row r="15" spans="1:10">
      <c r="J15" t="s">
        <v>26</v>
      </c>
    </row>
    <row r="16" spans="1:10">
      <c r="J16" t="s">
        <v>27</v>
      </c>
    </row>
    <row r="18" spans="1:11">
      <c r="B18" s="1" t="s">
        <v>18</v>
      </c>
      <c r="C18" s="1" t="s">
        <v>19</v>
      </c>
    </row>
    <row r="19" spans="1:11">
      <c r="A19" s="1" t="s">
        <v>13</v>
      </c>
      <c r="B19" s="2" t="s">
        <v>3</v>
      </c>
      <c r="C19" s="2" t="s">
        <v>3</v>
      </c>
      <c r="D19" s="4" t="s">
        <v>15</v>
      </c>
      <c r="E19" s="4" t="s">
        <v>14</v>
      </c>
      <c r="F19" s="4" t="s">
        <v>15</v>
      </c>
      <c r="G19" s="4" t="s">
        <v>14</v>
      </c>
      <c r="H19" s="4" t="s">
        <v>16</v>
      </c>
      <c r="I19" s="4" t="s">
        <v>17</v>
      </c>
      <c r="J19" s="4" t="s">
        <v>20</v>
      </c>
    </row>
    <row r="20" spans="1:11">
      <c r="A20" s="1">
        <f>$B$5/$B$4</f>
        <v>0.66666666666666663</v>
      </c>
      <c r="B20" s="3">
        <f>B10/$B$4</f>
        <v>0</v>
      </c>
      <c r="C20" s="3">
        <f>C10/$B$4</f>
        <v>3.1666666666666665</v>
      </c>
      <c r="D20" s="5" cm="1">
        <f t="array" ref="D20">Calcular_F1(A20,B20)</f>
        <v>0.45252650026115893</v>
      </c>
      <c r="E20" s="2" cm="1">
        <f t="array" ref="E20">Calcular_F2(A20,B20)</f>
        <v>0</v>
      </c>
      <c r="F20" s="5" cm="1">
        <f t="array" ref="F20">Calcular_F1(A20,C20)</f>
        <v>0.12805441856516267</v>
      </c>
      <c r="G20" s="2" cm="1">
        <f t="array" ref="G20">Calcular_F2(A20,C20)</f>
        <v>6.2571526211426906E-2</v>
      </c>
      <c r="H20" cm="1">
        <f t="array" ref="H20">Calcular_Sz($B$6,$B$4,E10,F10,D20,E20)</f>
        <v>9.2654800928472295E-3</v>
      </c>
      <c r="I20" cm="1">
        <f t="array" ref="I20">Calcular_Sz($B$6,$B$4,E10,F10,F20,G20)</f>
        <v>1.889827363448011E-3</v>
      </c>
      <c r="J20">
        <f>H20-I20</f>
        <v>7.375652729399218E-3</v>
      </c>
    </row>
    <row r="21" spans="1:11">
      <c r="A21" s="1"/>
      <c r="B21" s="3"/>
      <c r="C21" s="3"/>
      <c r="D21" s="5"/>
      <c r="E21" s="2"/>
      <c r="F21" s="5"/>
      <c r="G21" s="2"/>
    </row>
    <row r="22" spans="1:11">
      <c r="A22" s="1"/>
      <c r="B22" s="3"/>
      <c r="C22" s="3"/>
      <c r="D22" s="5"/>
      <c r="E22" s="2"/>
      <c r="F22" s="5"/>
      <c r="G22" s="2"/>
    </row>
    <row r="23" spans="1:11">
      <c r="A23" s="2"/>
      <c r="B23" s="2"/>
      <c r="C23" s="2"/>
      <c r="D23" s="2"/>
      <c r="E23" s="2"/>
    </row>
    <row r="25" spans="1:11">
      <c r="I25" t="s">
        <v>21</v>
      </c>
      <c r="J25" s="6">
        <f>J20+J21+J22</f>
        <v>7.375652729399218E-3</v>
      </c>
      <c r="K25" t="s">
        <v>3</v>
      </c>
    </row>
    <row r="26" spans="1:11">
      <c r="J26" s="6">
        <f>J25*1000</f>
        <v>7.375652729399218</v>
      </c>
      <c r="K26" t="s">
        <v>25</v>
      </c>
    </row>
    <row r="27" spans="1:11">
      <c r="J27" s="6"/>
    </row>
    <row r="28" spans="1:11">
      <c r="I28" s="7" t="s">
        <v>24</v>
      </c>
      <c r="J28" s="6">
        <f>4*J26</f>
        <v>29.502610917596872</v>
      </c>
      <c r="K28" t="s">
        <v>25</v>
      </c>
    </row>
  </sheetData>
  <mergeCells count="1">
    <mergeCell ref="B8:D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901A5-252B-4430-9EE5-27B806213C01}">
  <sheetPr codeName="Hoja2"/>
  <dimension ref="A1:K27"/>
  <sheetViews>
    <sheetView zoomScaleNormal="100" workbookViewId="0">
      <selection activeCell="G5" sqref="G5"/>
    </sheetView>
  </sheetViews>
  <sheetFormatPr baseColWidth="10" defaultColWidth="9.140625" defaultRowHeight="15"/>
  <cols>
    <col min="4" max="4" width="9.42578125" bestFit="1" customWidth="1"/>
  </cols>
  <sheetData>
    <row r="1" spans="1:10">
      <c r="A1" t="s">
        <v>0</v>
      </c>
      <c r="B1">
        <v>2</v>
      </c>
      <c r="C1" t="s">
        <v>3</v>
      </c>
    </row>
    <row r="2" spans="1:10">
      <c r="A2" t="s">
        <v>1</v>
      </c>
      <c r="B2">
        <v>2</v>
      </c>
      <c r="C2" t="s">
        <v>3</v>
      </c>
    </row>
    <row r="4" spans="1:10">
      <c r="A4" t="s">
        <v>22</v>
      </c>
      <c r="B4">
        <f>0.5*B1</f>
        <v>1</v>
      </c>
      <c r="C4" t="s">
        <v>3</v>
      </c>
    </row>
    <row r="5" spans="1:10">
      <c r="A5" t="s">
        <v>23</v>
      </c>
      <c r="B5">
        <f>0.5*B2</f>
        <v>1</v>
      </c>
      <c r="C5" t="s">
        <v>3</v>
      </c>
    </row>
    <row r="6" spans="1:10">
      <c r="A6" t="s">
        <v>2</v>
      </c>
      <c r="B6">
        <v>150</v>
      </c>
      <c r="C6" t="s">
        <v>4</v>
      </c>
    </row>
    <row r="8" spans="1:10">
      <c r="B8" s="9" t="s">
        <v>3</v>
      </c>
      <c r="C8" s="9"/>
      <c r="D8" s="9"/>
    </row>
    <row r="9" spans="1:10">
      <c r="B9" s="1" t="s">
        <v>8</v>
      </c>
      <c r="C9" s="1" t="s">
        <v>9</v>
      </c>
      <c r="D9" s="1" t="s">
        <v>10</v>
      </c>
      <c r="E9" s="1" t="s">
        <v>11</v>
      </c>
      <c r="F9" s="1" t="s">
        <v>12</v>
      </c>
    </row>
    <row r="10" spans="1:10">
      <c r="A10" t="s">
        <v>5</v>
      </c>
      <c r="B10" s="1">
        <v>0</v>
      </c>
      <c r="C10" s="1">
        <v>6</v>
      </c>
      <c r="D10" s="1">
        <f>C10-B10</f>
        <v>6</v>
      </c>
      <c r="E10">
        <v>10000</v>
      </c>
      <c r="F10" s="1">
        <v>0.3</v>
      </c>
    </row>
    <row r="11" spans="1:10">
      <c r="A11" t="s">
        <v>6</v>
      </c>
      <c r="B11" s="1">
        <v>6</v>
      </c>
      <c r="C11" s="1">
        <f>+B11+3</f>
        <v>9</v>
      </c>
      <c r="D11" s="1">
        <f t="shared" ref="D11" si="0">C11-B11</f>
        <v>3</v>
      </c>
      <c r="E11">
        <v>15000</v>
      </c>
      <c r="F11" s="1">
        <v>0.45</v>
      </c>
    </row>
    <row r="12" spans="1:10">
      <c r="B12" s="1"/>
      <c r="C12" s="1"/>
      <c r="D12" s="1"/>
      <c r="F12" s="1"/>
    </row>
    <row r="14" spans="1:10">
      <c r="C14" t="s">
        <v>28</v>
      </c>
      <c r="D14">
        <f>SUM(D10:D12)</f>
        <v>9</v>
      </c>
      <c r="E14" t="s">
        <v>3</v>
      </c>
    </row>
    <row r="15" spans="1:10">
      <c r="J15" t="s">
        <v>26</v>
      </c>
    </row>
    <row r="16" spans="1:10">
      <c r="J16" t="s">
        <v>27</v>
      </c>
    </row>
    <row r="18" spans="1:11">
      <c r="B18" s="1" t="s">
        <v>18</v>
      </c>
      <c r="C18" s="1" t="s">
        <v>19</v>
      </c>
    </row>
    <row r="19" spans="1:11">
      <c r="A19" s="1" t="s">
        <v>13</v>
      </c>
      <c r="B19" s="2" t="s">
        <v>3</v>
      </c>
      <c r="C19" s="2" t="s">
        <v>3</v>
      </c>
      <c r="D19" s="4" t="s">
        <v>15</v>
      </c>
      <c r="E19" s="4" t="s">
        <v>14</v>
      </c>
      <c r="F19" s="4" t="s">
        <v>15</v>
      </c>
      <c r="G19" s="4" t="s">
        <v>14</v>
      </c>
      <c r="H19" s="4" t="s">
        <v>16</v>
      </c>
      <c r="I19" s="4" t="s">
        <v>17</v>
      </c>
      <c r="J19" s="4" t="s">
        <v>20</v>
      </c>
    </row>
    <row r="20" spans="1:11">
      <c r="A20" s="1">
        <f>$B$5/$B$4</f>
        <v>1</v>
      </c>
      <c r="B20" s="3">
        <f>B10/$B$4</f>
        <v>0</v>
      </c>
      <c r="C20" s="3">
        <f>C10/$B$4</f>
        <v>6</v>
      </c>
      <c r="D20" s="5" cm="1">
        <f t="array" ref="D20">Calcular_F1(A20,B20)</f>
        <v>0.56109985233918014</v>
      </c>
      <c r="E20" s="2" cm="1">
        <f t="array" ref="E20">Calcular_F2(A20,B20)</f>
        <v>0</v>
      </c>
      <c r="F20" s="5" cm="1">
        <f t="array" ref="F20">Calcular_F1(A20,C20)</f>
        <v>0.10419384917949108</v>
      </c>
      <c r="G20" s="2" cm="1">
        <f t="array" ref="G20">Calcular_F2(A20,C20)</f>
        <v>5.1624105574715647E-2</v>
      </c>
      <c r="H20" cm="1">
        <f t="array" ref="H20">Calcular_Sz($B$6,$B$4,E10,F10,D20,E20)</f>
        <v>7.6590129844298091E-3</v>
      </c>
      <c r="I20" cm="1">
        <f t="array" ref="I20">Calcular_Sz($B$6,$B$4,E10,F10,F20,G20)</f>
        <v>1.0195780178172712E-3</v>
      </c>
      <c r="J20">
        <f>H20-I20</f>
        <v>6.6394349666125379E-3</v>
      </c>
    </row>
    <row r="21" spans="1:11">
      <c r="A21" s="1">
        <f t="shared" ref="A21" si="1">$B$5/$B$4</f>
        <v>1</v>
      </c>
      <c r="B21" s="3">
        <f t="shared" ref="B21:C21" si="2">B11/$B$4</f>
        <v>6</v>
      </c>
      <c r="C21" s="3">
        <f t="shared" si="2"/>
        <v>9</v>
      </c>
      <c r="D21" s="5" cm="1">
        <f t="array" ref="D21">Calcular_F1(A21,B21)</f>
        <v>0.10419384917949108</v>
      </c>
      <c r="E21" s="2" cm="1">
        <f t="array" ref="E21">Calcular_F2(A21,B21)</f>
        <v>5.1624105574715647E-2</v>
      </c>
      <c r="F21" s="5" cm="1">
        <f t="array" ref="F21">Calcular_F1(A21,C21)</f>
        <v>7.0160779451361482E-2</v>
      </c>
      <c r="G21" s="2" cm="1">
        <f t="array" ref="G21">Calcular_F2(A21,C21)</f>
        <v>3.4937316944553279E-2</v>
      </c>
      <c r="H21" cm="1">
        <f t="array" ref="H21">Calcular_Sz($B$6,$B$4,E11,F11,D21,E21)</f>
        <v>7.5609099412310367E-4</v>
      </c>
      <c r="I21" cm="1">
        <f t="array" ref="I21">Calcular_Sz($B$6,$B$4,E11,F11,F21,G21)</f>
        <v>5.0887310655500556E-4</v>
      </c>
      <c r="J21">
        <f>H21-I21</f>
        <v>2.4721788756809811E-4</v>
      </c>
    </row>
    <row r="22" spans="1:11">
      <c r="A22" s="2"/>
      <c r="B22" s="2"/>
      <c r="C22" s="2"/>
      <c r="D22" s="2"/>
      <c r="E22" s="2"/>
    </row>
    <row r="24" spans="1:11">
      <c r="I24" t="s">
        <v>21</v>
      </c>
      <c r="J24" s="6">
        <f>J20+J21</f>
        <v>6.886652854180636E-3</v>
      </c>
      <c r="K24" t="s">
        <v>3</v>
      </c>
    </row>
    <row r="25" spans="1:11">
      <c r="J25" s="6">
        <f>J24*1000</f>
        <v>6.8866528541806362</v>
      </c>
      <c r="K25" t="s">
        <v>25</v>
      </c>
    </row>
    <row r="27" spans="1:11">
      <c r="J27" s="6">
        <f>4*J25</f>
        <v>27.546611416722545</v>
      </c>
    </row>
  </sheetData>
  <mergeCells count="1">
    <mergeCell ref="B8:D8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8"/>
  <sheetViews>
    <sheetView topLeftCell="A10" zoomScaleNormal="100" workbookViewId="0">
      <selection activeCell="B4" sqref="B4"/>
    </sheetView>
  </sheetViews>
  <sheetFormatPr baseColWidth="10" defaultColWidth="9.140625" defaultRowHeight="15"/>
  <cols>
    <col min="4" max="4" width="9.42578125" bestFit="1" customWidth="1"/>
  </cols>
  <sheetData>
    <row r="1" spans="1:10">
      <c r="A1" t="s">
        <v>0</v>
      </c>
      <c r="B1">
        <v>2</v>
      </c>
      <c r="C1" t="s">
        <v>3</v>
      </c>
    </row>
    <row r="2" spans="1:10">
      <c r="A2" t="s">
        <v>1</v>
      </c>
      <c r="B2">
        <v>2</v>
      </c>
      <c r="C2" t="s">
        <v>3</v>
      </c>
    </row>
    <row r="4" spans="1:10">
      <c r="A4" t="s">
        <v>22</v>
      </c>
      <c r="B4">
        <f>0.5*B1</f>
        <v>1</v>
      </c>
      <c r="C4" t="s">
        <v>3</v>
      </c>
    </row>
    <row r="5" spans="1:10">
      <c r="A5" t="s">
        <v>23</v>
      </c>
      <c r="B5">
        <f>0.5*B2</f>
        <v>1</v>
      </c>
      <c r="C5" t="s">
        <v>3</v>
      </c>
    </row>
    <row r="6" spans="1:10">
      <c r="A6" t="s">
        <v>2</v>
      </c>
      <c r="B6">
        <v>150</v>
      </c>
      <c r="C6" t="s">
        <v>4</v>
      </c>
    </row>
    <row r="8" spans="1:10">
      <c r="B8" s="9" t="s">
        <v>3</v>
      </c>
      <c r="C8" s="9"/>
      <c r="D8" s="9"/>
    </row>
    <row r="9" spans="1:10">
      <c r="B9" s="1" t="s">
        <v>8</v>
      </c>
      <c r="C9" s="1" t="s">
        <v>9</v>
      </c>
      <c r="D9" s="1" t="s">
        <v>10</v>
      </c>
      <c r="E9" s="1" t="s">
        <v>11</v>
      </c>
      <c r="F9" s="1" t="s">
        <v>12</v>
      </c>
    </row>
    <row r="10" spans="1:10">
      <c r="A10" t="s">
        <v>5</v>
      </c>
      <c r="B10" s="1">
        <v>0</v>
      </c>
      <c r="C10" s="1">
        <v>6</v>
      </c>
      <c r="D10" s="1">
        <f>C10-B10</f>
        <v>6</v>
      </c>
      <c r="E10">
        <v>10000</v>
      </c>
      <c r="F10" s="1">
        <v>0.3</v>
      </c>
    </row>
    <row r="11" spans="1:10">
      <c r="A11" t="s">
        <v>6</v>
      </c>
      <c r="B11" s="1">
        <v>6</v>
      </c>
      <c r="C11" s="1">
        <f>+B11+3</f>
        <v>9</v>
      </c>
      <c r="D11" s="1">
        <f t="shared" ref="D11:D12" si="0">C11-B11</f>
        <v>3</v>
      </c>
      <c r="E11">
        <v>15000</v>
      </c>
      <c r="F11" s="1">
        <v>0.45</v>
      </c>
    </row>
    <row r="12" spans="1:10">
      <c r="A12" t="s">
        <v>7</v>
      </c>
      <c r="B12" s="1">
        <f>C11</f>
        <v>9</v>
      </c>
      <c r="C12" s="1">
        <f>B12+5</f>
        <v>14</v>
      </c>
      <c r="D12" s="1">
        <f t="shared" si="0"/>
        <v>5</v>
      </c>
      <c r="E12">
        <v>40000</v>
      </c>
      <c r="F12" s="1">
        <v>0.25</v>
      </c>
    </row>
    <row r="14" spans="1:10">
      <c r="C14" t="s">
        <v>28</v>
      </c>
      <c r="D14">
        <f>SUM(D10:D12)</f>
        <v>14</v>
      </c>
      <c r="E14" t="s">
        <v>3</v>
      </c>
    </row>
    <row r="15" spans="1:10">
      <c r="J15" t="s">
        <v>26</v>
      </c>
    </row>
    <row r="16" spans="1:10">
      <c r="J16" t="s">
        <v>27</v>
      </c>
    </row>
    <row r="18" spans="1:11">
      <c r="B18" s="1" t="s">
        <v>18</v>
      </c>
      <c r="C18" s="1" t="s">
        <v>19</v>
      </c>
    </row>
    <row r="19" spans="1:11">
      <c r="A19" s="1" t="s">
        <v>13</v>
      </c>
      <c r="B19" s="2" t="s">
        <v>3</v>
      </c>
      <c r="C19" s="2" t="s">
        <v>3</v>
      </c>
      <c r="D19" s="4" t="s">
        <v>15</v>
      </c>
      <c r="E19" s="4" t="s">
        <v>14</v>
      </c>
      <c r="F19" s="4" t="s">
        <v>15</v>
      </c>
      <c r="G19" s="4" t="s">
        <v>14</v>
      </c>
      <c r="H19" s="4" t="s">
        <v>16</v>
      </c>
      <c r="I19" s="4" t="s">
        <v>17</v>
      </c>
      <c r="J19" s="4" t="s">
        <v>20</v>
      </c>
    </row>
    <row r="20" spans="1:11">
      <c r="A20" s="1">
        <f>$B$5/$B$4</f>
        <v>1</v>
      </c>
      <c r="B20" s="3">
        <f>B10/$B$4</f>
        <v>0</v>
      </c>
      <c r="C20" s="3">
        <f>C10/$B$4</f>
        <v>6</v>
      </c>
      <c r="D20" s="5" cm="1">
        <f t="array" ref="D20">Calcular_F1(A20,B20)</f>
        <v>0.56109985233918014</v>
      </c>
      <c r="E20" s="2" cm="1">
        <f t="array" ref="E20">Calcular_F2(A20,B20)</f>
        <v>0</v>
      </c>
      <c r="F20" s="5" cm="1">
        <f t="array" ref="F20">Calcular_F1(A20,C20)</f>
        <v>0.10419384917949108</v>
      </c>
      <c r="G20" s="2" cm="1">
        <f t="array" ref="G20">Calcular_F2(A20,C20)</f>
        <v>5.1624105574715647E-2</v>
      </c>
      <c r="H20" cm="1">
        <f t="array" ref="H20">Calcular_Sz($B$6,$B$4,E10,F10,D20,E20)</f>
        <v>7.6590129844298091E-3</v>
      </c>
      <c r="I20" cm="1">
        <f t="array" ref="I20">Calcular_Sz($B$6,$B$4,E10,F10,F20,G20)</f>
        <v>1.0195780178172712E-3</v>
      </c>
      <c r="J20">
        <f>H20-I20</f>
        <v>6.6394349666125379E-3</v>
      </c>
    </row>
    <row r="21" spans="1:11">
      <c r="A21" s="1">
        <f t="shared" ref="A21:A22" si="1">$B$5/$B$4</f>
        <v>1</v>
      </c>
      <c r="B21" s="3">
        <f t="shared" ref="B21:B22" si="2">B11/$B$4</f>
        <v>6</v>
      </c>
      <c r="C21" s="3">
        <f t="shared" ref="C21:C22" si="3">C11/$B$4</f>
        <v>9</v>
      </c>
      <c r="D21" s="5" cm="1">
        <f t="array" ref="D21">Calcular_F1(A21,B21)</f>
        <v>0.10419384917949108</v>
      </c>
      <c r="E21" s="2" cm="1">
        <f t="array" ref="E21">Calcular_F2(A21,B21)</f>
        <v>5.1624105574715647E-2</v>
      </c>
      <c r="F21" s="5" cm="1">
        <f t="array" ref="F21">Calcular_F1(A21,C21)</f>
        <v>7.0160779451361482E-2</v>
      </c>
      <c r="G21" s="2" cm="1">
        <f t="array" ref="G21">Calcular_F2(A21,C21)</f>
        <v>3.4937316944553279E-2</v>
      </c>
      <c r="H21" cm="1">
        <f t="array" ref="H21">Calcular_Sz($B$6,$B$4,E11,F11,D21,E21)</f>
        <v>7.5609099412310367E-4</v>
      </c>
      <c r="I21" cm="1">
        <f t="array" ref="I21">Calcular_Sz($B$6,$B$4,E11,F11,F21,G21)</f>
        <v>5.0887310655500556E-4</v>
      </c>
      <c r="J21">
        <f>H21-I21</f>
        <v>2.4721788756809811E-4</v>
      </c>
    </row>
    <row r="22" spans="1:11">
      <c r="A22" s="1">
        <f t="shared" si="1"/>
        <v>1</v>
      </c>
      <c r="B22" s="3">
        <f t="shared" si="2"/>
        <v>9</v>
      </c>
      <c r="C22" s="3">
        <f t="shared" si="3"/>
        <v>14</v>
      </c>
      <c r="D22" s="5" cm="1">
        <f t="array" ref="D22">Calcular_F1(A22,B22)</f>
        <v>7.0160779451361482E-2</v>
      </c>
      <c r="E22" s="2" cm="1">
        <f t="array" ref="E22">Calcular_F2(A22,B22)</f>
        <v>3.4937316944553279E-2</v>
      </c>
      <c r="F22" s="5" cm="1">
        <f t="array" ref="F22">Calcular_F1(A22,C22)</f>
        <v>4.5318994802086073E-2</v>
      </c>
      <c r="G22" s="2" cm="1">
        <f t="array" ref="G22">Calcular_F2(A22,C22)</f>
        <v>2.2621104287831897E-2</v>
      </c>
      <c r="H22" cm="1">
        <f t="array" ref="H22">Calcular_Sz($B$6,$B$4,E12,F12,D22,E22)</f>
        <v>1.6477465366989598E-4</v>
      </c>
      <c r="I22" cm="1">
        <f t="array" ref="I22">Calcular_Sz($B$6,$B$4,E12,F12,F22,G22)</f>
        <v>1.0630637792647783E-4</v>
      </c>
      <c r="J22">
        <f>H22-I22</f>
        <v>5.8468275743418153E-5</v>
      </c>
    </row>
    <row r="23" spans="1:11">
      <c r="A23" s="2"/>
      <c r="B23" s="2"/>
      <c r="C23" s="2"/>
      <c r="D23" s="2"/>
      <c r="E23" s="2"/>
    </row>
    <row r="25" spans="1:11">
      <c r="I25" t="s">
        <v>21</v>
      </c>
      <c r="J25">
        <f>J20+J21+J22</f>
        <v>6.9451211299240544E-3</v>
      </c>
      <c r="K25" t="s">
        <v>3</v>
      </c>
    </row>
    <row r="26" spans="1:11">
      <c r="J26">
        <f>J25*1000</f>
        <v>6.9451211299240541</v>
      </c>
      <c r="K26" t="s">
        <v>25</v>
      </c>
    </row>
    <row r="28" spans="1:11">
      <c r="J28" s="6">
        <f>4*J26</f>
        <v>27.780484519696216</v>
      </c>
    </row>
  </sheetData>
  <mergeCells count="1">
    <mergeCell ref="B8:D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74EB0-0D01-4FFA-A2CB-A3C220DAD8AB}">
  <dimension ref="C24:F31"/>
  <sheetViews>
    <sheetView tabSelected="1" workbookViewId="0">
      <selection activeCell="B29" sqref="B29"/>
    </sheetView>
  </sheetViews>
  <sheetFormatPr baseColWidth="10" defaultRowHeight="15"/>
  <sheetData>
    <row r="24" spans="3:6">
      <c r="C24" t="s">
        <v>36</v>
      </c>
    </row>
    <row r="25" spans="3:6">
      <c r="C25" t="s">
        <v>38</v>
      </c>
    </row>
    <row r="26" spans="3:6">
      <c r="D26" s="1" t="s">
        <v>35</v>
      </c>
      <c r="E26" t="s">
        <v>34</v>
      </c>
    </row>
    <row r="27" spans="3:6">
      <c r="C27" t="s">
        <v>30</v>
      </c>
      <c r="D27" s="8">
        <v>14.228</v>
      </c>
      <c r="E27" s="1">
        <v>13.7</v>
      </c>
    </row>
    <row r="28" spans="3:6">
      <c r="C28" t="s">
        <v>29</v>
      </c>
      <c r="D28" s="8">
        <v>35.65</v>
      </c>
      <c r="E28" s="1">
        <v>33.9</v>
      </c>
    </row>
    <row r="29" spans="3:6">
      <c r="C29" t="s">
        <v>31</v>
      </c>
      <c r="D29" s="8">
        <v>2.097</v>
      </c>
      <c r="E29" s="1">
        <v>2.4</v>
      </c>
      <c r="F29" t="s">
        <v>37</v>
      </c>
    </row>
    <row r="30" spans="3:6">
      <c r="C30" t="s">
        <v>32</v>
      </c>
      <c r="D30" s="8">
        <v>1.99</v>
      </c>
      <c r="E30" s="1">
        <v>2.2999999999999998</v>
      </c>
      <c r="F30" t="s">
        <v>37</v>
      </c>
    </row>
    <row r="31" spans="3:6">
      <c r="C31" t="s">
        <v>33</v>
      </c>
      <c r="D31" s="8">
        <v>10.93</v>
      </c>
      <c r="E31" s="1">
        <v>9.6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Un suelo</vt:lpstr>
      <vt:lpstr>Dos suelos</vt:lpstr>
      <vt:lpstr>Tres suelos</vt:lpstr>
      <vt:lpstr>Pruebas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Germán López Pineda</dc:creator>
  <cp:lastModifiedBy>Germán  López Pineda</cp:lastModifiedBy>
  <dcterms:created xsi:type="dcterms:W3CDTF">2015-06-05T18:19:34Z</dcterms:created>
  <dcterms:modified xsi:type="dcterms:W3CDTF">2026-03-22T16:56:08Z</dcterms:modified>
</cp:coreProperties>
</file>