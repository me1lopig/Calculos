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arrollo\Python\CalculoPilotes\zapata_Asientos\"/>
    </mc:Choice>
  </mc:AlternateContent>
  <xr:revisionPtr revIDLastSave="0" documentId="13_ncr:1_{34BB305D-8A0C-44F0-8A05-64CF1E68C30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1" l="1"/>
  <c r="J20" i="1"/>
  <c r="B19" i="1"/>
  <c r="C11" i="1"/>
  <c r="C21" i="1" s="1"/>
  <c r="C10" i="1"/>
  <c r="A20" i="1"/>
  <c r="A21" i="1"/>
  <c r="A19" i="1"/>
  <c r="C19" i="1"/>
  <c r="C20" i="1"/>
  <c r="D9" i="1"/>
  <c r="B11" i="1"/>
  <c r="B21" i="1" s="1"/>
  <c r="B10" i="1"/>
  <c r="D10" i="1" s="1"/>
  <c r="I21" i="1" a="1"/>
  <c r="I19" i="1" a="1"/>
  <c r="H21" i="1" a="1"/>
  <c r="H20" i="1" a="1"/>
  <c r="G21" i="1" a="1"/>
  <c r="G20" i="1" a="1"/>
  <c r="G19" i="1" a="1"/>
  <c r="F20" i="1" a="1"/>
  <c r="F19" i="1" a="1"/>
  <c r="E21" i="1" a="1"/>
  <c r="E20" i="1" a="1"/>
  <c r="E19" i="1" a="1"/>
  <c r="D21" i="1" a="1"/>
  <c r="D20" i="1" a="1"/>
  <c r="D19" i="1" a="1"/>
  <c r="F21" i="1" a="1"/>
  <c r="I21" i="1" l="1"/>
  <c r="I19" i="1"/>
  <c r="H21" i="1"/>
  <c r="H20" i="1"/>
  <c r="G21" i="1"/>
  <c r="G20" i="1"/>
  <c r="G19" i="1"/>
  <c r="F20" i="1"/>
  <c r="F19" i="1"/>
  <c r="E21" i="1"/>
  <c r="E20" i="1"/>
  <c r="E19" i="1"/>
  <c r="D21" i="1"/>
  <c r="D20" i="1"/>
  <c r="D19" i="1"/>
  <c r="F21" i="1"/>
  <c r="D11" i="1"/>
  <c r="B20" i="1"/>
  <c r="H19" i="1" a="1"/>
  <c r="I20" i="1" a="1"/>
  <c r="H19" i="1" l="1"/>
  <c r="J19" i="1" s="1"/>
  <c r="I20" i="1"/>
  <c r="J24" i="1" l="1"/>
  <c r="J25" i="1" s="1"/>
  <c r="J2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<sst xmlns="http://schemas.openxmlformats.org/spreadsheetml/2006/main" count="30" uniqueCount="22">
  <si>
    <t>B=</t>
  </si>
  <si>
    <t>L=</t>
  </si>
  <si>
    <t>q=</t>
  </si>
  <si>
    <t>m</t>
  </si>
  <si>
    <t>kPa</t>
  </si>
  <si>
    <t>UG-01</t>
  </si>
  <si>
    <t>UG-02</t>
  </si>
  <si>
    <t>UG-03</t>
  </si>
  <si>
    <t>zi</t>
  </si>
  <si>
    <t>zf</t>
  </si>
  <si>
    <t>Potencia</t>
  </si>
  <si>
    <t>E kPa</t>
  </si>
  <si>
    <t>nu</t>
  </si>
  <si>
    <t>n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</si>
  <si>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</si>
  <si>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1</t>
    </r>
  </si>
  <si>
    <t>si</t>
  </si>
  <si>
    <t>si+1</t>
  </si>
  <si>
    <t>i</t>
  </si>
  <si>
    <t>i+1</t>
  </si>
  <si>
    <t>s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</si>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</sst>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1</xdr:row>
      <xdr:rowOff>66675</xdr:rowOff>
    </xdr:from>
    <xdr:to>
      <xdr:col>16</xdr:col>
      <xdr:colOff>389862</xdr:colOff>
      <xdr:row>16</xdr:row>
      <xdr:rowOff>104413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AC8FB9-DEE5-1E8C-5655-F292D76D4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" y="257175"/>
          <a:ext cx="5304762" cy="28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3:K27"/>
  <sheetViews>
    <sheetView tabSelected="1" topLeftCell="A5" zoomScaleNormal="100" workbookViewId="0">
      <selection activeCell="B10" sqref="B10"/>
    </sheetView>
  </sheetViews>
  <sheetFormatPr baseColWidth="10" defaultColWidth="9.140625" defaultRowHeight="15"/>
  <cols>
    <col min="4" max="4" width="9.42578125" bestFit="1" customWidth="1"/>
  </cols>
  <sheetData>
    <row r="3" spans="1:6">
      <c r="A3" t="s">
        <v>0</v>
      </c>
      <c r="B3">
        <v>2</v>
      </c>
      <c r="C3" t="s">
        <v>3</v>
      </c>
    </row>
    <row r="4" spans="1:6">
      <c r="A4" t="s">
        <v>1</v>
      </c>
      <c r="B4">
        <v>2</v>
      </c>
      <c r="C4" t="s">
        <v>3</v>
      </c>
    </row>
    <row r="5" spans="1:6">
      <c r="A5" t="s">
        <v>2</v>
      </c>
      <c r="B5">
        <v>150</v>
      </c>
      <c r="C5" t="s">
        <v>4</v>
      </c>
    </row>
    <row r="7" spans="1:6">
      <c r="B7" s="5" t="s">
        <v>3</v>
      </c>
      <c r="C7" s="5"/>
      <c r="D7" s="5"/>
    </row>
    <row r="8" spans="1:6">
      <c r="B8" s="1" t="s">
        <v>8</v>
      </c>
      <c r="C8" s="1" t="s">
        <v>9</v>
      </c>
      <c r="D8" s="1" t="s">
        <v>10</v>
      </c>
      <c r="E8" s="1" t="s">
        <v>11</v>
      </c>
      <c r="F8" s="1" t="s">
        <v>12</v>
      </c>
    </row>
    <row r="9" spans="1:6">
      <c r="A9" t="s">
        <v>5</v>
      </c>
      <c r="B9" s="1">
        <v>0</v>
      </c>
      <c r="C9" s="1">
        <v>1.5</v>
      </c>
      <c r="D9" s="1">
        <f>C9-B9</f>
        <v>1.5</v>
      </c>
      <c r="E9">
        <v>10000</v>
      </c>
      <c r="F9" s="1">
        <v>0.3</v>
      </c>
    </row>
    <row r="10" spans="1:6">
      <c r="A10" t="s">
        <v>6</v>
      </c>
      <c r="B10" s="1">
        <f>C9</f>
        <v>1.5</v>
      </c>
      <c r="C10" s="1">
        <f>+B10+3</f>
        <v>4.5</v>
      </c>
      <c r="D10" s="1">
        <f t="shared" ref="D10:D11" si="0">C10-B10</f>
        <v>3</v>
      </c>
      <c r="E10">
        <v>5000</v>
      </c>
      <c r="F10" s="1">
        <v>0.45</v>
      </c>
    </row>
    <row r="11" spans="1:6">
      <c r="A11" t="s">
        <v>7</v>
      </c>
      <c r="B11" s="1">
        <f>C10</f>
        <v>4.5</v>
      </c>
      <c r="C11" s="1">
        <f>B11+5</f>
        <v>9.5</v>
      </c>
      <c r="D11" s="1">
        <f t="shared" si="0"/>
        <v>5</v>
      </c>
      <c r="E11">
        <v>40000</v>
      </c>
      <c r="F11" s="1">
        <v>0.25</v>
      </c>
    </row>
    <row r="17" spans="1:11">
      <c r="B17" s="1" t="s">
        <v>18</v>
      </c>
      <c r="C17" s="1" t="s">
        <v>19</v>
      </c>
    </row>
    <row r="18" spans="1:11">
      <c r="A18" s="1" t="s">
        <v>13</v>
      </c>
      <c r="B18" s="2" t="s">
        <v>3</v>
      </c>
      <c r="C18" s="2" t="s">
        <v>3</v>
      </c>
      <c r="D18" s="4" t="s">
        <v>15</v>
      </c>
      <c r="E18" s="4" t="s">
        <v>14</v>
      </c>
      <c r="F18" s="4" t="s">
        <v>15</v>
      </c>
      <c r="G18" s="4" t="s">
        <v>14</v>
      </c>
      <c r="H18" s="4" t="s">
        <v>16</v>
      </c>
      <c r="I18" s="4" t="s">
        <v>17</v>
      </c>
      <c r="J18" s="4" t="s">
        <v>20</v>
      </c>
    </row>
    <row r="19" spans="1:11">
      <c r="A19" s="1">
        <f>$B$4/$B$3</f>
        <v>1</v>
      </c>
      <c r="B19" s="3">
        <f>2*B9/$B$3</f>
        <v>0</v>
      </c>
      <c r="C19" s="3">
        <f>2*C9/$B$3</f>
        <v>1.5</v>
      </c>
      <c r="D19" s="6" cm="1">
        <f t="array" ref="D19">Calcular_F1(A19,B19)</f>
        <v>0.56109985233918014</v>
      </c>
      <c r="E19" s="2" cm="1">
        <f t="array" ref="E19">Calcular_F2(A19,B19)</f>
        <v>0</v>
      </c>
      <c r="F19" s="6" cm="1">
        <f t="array" ref="F19">Calcular_F1(A19,C19)</f>
        <v>0.33715048553017812</v>
      </c>
      <c r="G19" s="2" cm="1">
        <f t="array" ref="G19">Calcular_F2(A19,C19)</f>
        <v>0.14933510949493572</v>
      </c>
      <c r="H19" cm="1">
        <f t="array" ref="H19">Calcular_Sz($B$5,$B$3,E9,F9,D19,E19)</f>
        <v>1.5318025968859618E-2</v>
      </c>
      <c r="I19" cm="1">
        <f t="array" ref="I19">Calcular_Sz($B$5,$B$3,E9,F9,F19,G19)</f>
        <v>6.8745805468528659E-3</v>
      </c>
      <c r="J19">
        <f>H19-I19</f>
        <v>8.4434454220067533E-3</v>
      </c>
    </row>
    <row r="20" spans="1:11">
      <c r="A20" s="1">
        <f t="shared" ref="A20:A21" si="1">$B$4/$B$3</f>
        <v>1</v>
      </c>
      <c r="B20" s="3">
        <f t="shared" ref="B20:C20" si="2">2*B10/$B$3</f>
        <v>1.5</v>
      </c>
      <c r="C20" s="3">
        <f t="shared" si="2"/>
        <v>4.5</v>
      </c>
      <c r="D20" s="6" cm="1">
        <f t="array" ref="D20">Calcular_F1(A20,B20)</f>
        <v>0.33715048553017812</v>
      </c>
      <c r="E20" s="2" cm="1">
        <f t="array" ref="E20">Calcular_F2(A20,B20)</f>
        <v>0.14933510949493572</v>
      </c>
      <c r="F20" s="6" cm="1">
        <f t="array" ref="F20">Calcular_F1(A20,C20)</f>
        <v>0.1370413787975116</v>
      </c>
      <c r="G20" s="2" cm="1">
        <f t="array" ref="G20">Calcular_F2(A20,C20)</f>
        <v>6.743170334841618E-2</v>
      </c>
      <c r="H20" cm="1">
        <f t="array" ref="H20">Calcular_Sz($B$5,$B$3,E10,F10,D20,E20)</f>
        <v>1.4833435280013081E-2</v>
      </c>
      <c r="I20" cm="1">
        <f t="array" ref="I20">Calcular_Sz($B$5,$B$3,E10,F10,F20,G20)</f>
        <v>5.9707741563297095E-3</v>
      </c>
      <c r="J20">
        <f>H20-I20</f>
        <v>8.8626611236833717E-3</v>
      </c>
    </row>
    <row r="21" spans="1:11">
      <c r="A21" s="1">
        <f t="shared" si="1"/>
        <v>1</v>
      </c>
      <c r="B21" s="3">
        <f t="shared" ref="B21:C21" si="3">2*B11/$B$3</f>
        <v>4.5</v>
      </c>
      <c r="C21" s="3">
        <f t="shared" si="3"/>
        <v>9.5</v>
      </c>
      <c r="D21" s="6" cm="1">
        <f t="array" ref="D21">Calcular_F1(A21,B21)</f>
        <v>0.1370413787975116</v>
      </c>
      <c r="E21" s="2" cm="1">
        <f t="array" ref="E21">Calcular_F2(A21,B21)</f>
        <v>6.743170334841618E-2</v>
      </c>
      <c r="F21" s="6" cm="1">
        <f t="array" ref="F21">Calcular_F1(A21,C21)</f>
        <v>0.13304655030509438</v>
      </c>
      <c r="G21" s="2" cm="1">
        <f t="array" ref="G21">Calcular_F2(A21,C21)</f>
        <v>3.3139774795340707E-2</v>
      </c>
      <c r="H21" cm="1">
        <f t="array" ref="H21">Calcular_Sz($B$5,$B$3,E11,F11,D21,E21)</f>
        <v>6.4748608522430262E-4</v>
      </c>
      <c r="I21" cm="1">
        <f t="array" ref="I21">Calcular_Sz($B$5,$B$3,E11,F11,F21,G21)</f>
        <v>7.801408624795353E-4</v>
      </c>
      <c r="J21">
        <f>H21-I21</f>
        <v>-1.3265477725523268E-4</v>
      </c>
    </row>
    <row r="22" spans="1:11">
      <c r="A22" s="2"/>
      <c r="B22" s="2"/>
      <c r="C22" s="2"/>
      <c r="D22" s="2"/>
      <c r="E22" s="2"/>
    </row>
    <row r="24" spans="1:11">
      <c r="I24" t="s">
        <v>21</v>
      </c>
      <c r="J24">
        <f>J19+J20+J21</f>
        <v>1.7173451768434895E-2</v>
      </c>
      <c r="K24" t="s">
        <v>3</v>
      </c>
    </row>
    <row r="25" spans="1:11">
      <c r="J25">
        <f>J24*1000</f>
        <v>17.173451768434894</v>
      </c>
      <c r="K25" t="s">
        <v>3</v>
      </c>
    </row>
    <row r="27" spans="1:11">
      <c r="J27">
        <f>0.5*J25</f>
        <v>8.5867258842174472</v>
      </c>
    </row>
  </sheetData>
  <mergeCells count="1">
    <mergeCell ref="B7:D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López Pineda</dc:creator>
  <cp:lastModifiedBy>Germán  López Pineda</cp:lastModifiedBy>
  <dcterms:created xsi:type="dcterms:W3CDTF">2015-06-05T18:19:34Z</dcterms:created>
  <dcterms:modified xsi:type="dcterms:W3CDTF">2026-03-17T19:29:40Z</dcterms:modified>
</cp:coreProperties>
</file>