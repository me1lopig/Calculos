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CORDOBA\# coordinador\#GERMAN\#PROGRAMAS\HOJAS DE CALCULO\TENSIONES Y ASIENTOS\"/>
    </mc:Choice>
  </mc:AlternateContent>
  <xr:revisionPtr revIDLastSave="0" documentId="13_ncr:1_{88E40D04-C6DE-45C0-9686-65EB12C6B715}" xr6:coauthVersionLast="47" xr6:coauthVersionMax="47" xr10:uidLastSave="{00000000-0000-0000-0000-000000000000}"/>
  <bookViews>
    <workbookView xWindow="-28920" yWindow="-690" windowWidth="29040" windowHeight="15720" xr2:uid="{00000000-000D-0000-FFFF-FFFF00000000}"/>
  </bookViews>
  <sheets>
    <sheet name="Asientos Carga Rectangular" sheetId="7" r:id="rId1"/>
  </sheets>
  <definedNames>
    <definedName name="_xlnm.Print_Area" localSheetId="0">'Asientos Carga Rectangular'!$A$1:$R$104</definedName>
    <definedName name="_xlnm.Print_Titles" localSheetId="0">'Asientos Carga Rectangular'!$37:$39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7" l="1"/>
  <c r="C40" i="7"/>
  <c r="B40" i="7" l="1"/>
  <c r="I40" i="7" s="1"/>
  <c r="E40" i="7" l="1"/>
  <c r="F40" i="7" s="1"/>
  <c r="D40" i="7"/>
  <c r="A41" i="7"/>
  <c r="G40" i="7" l="1"/>
  <c r="I41" i="7"/>
  <c r="B41" i="7"/>
  <c r="C41" i="7"/>
  <c r="A42" i="7"/>
  <c r="J40" i="7" l="1"/>
  <c r="I42" i="7"/>
  <c r="E41" i="7"/>
  <c r="F41" i="7" s="1"/>
  <c r="C42" i="7"/>
  <c r="B42" i="7"/>
  <c r="D41" i="7"/>
  <c r="A43" i="7"/>
  <c r="K40" i="7" l="1"/>
  <c r="I43" i="7"/>
  <c r="E42" i="7"/>
  <c r="F42" i="7" s="1"/>
  <c r="G41" i="7"/>
  <c r="D42" i="7"/>
  <c r="C43" i="7"/>
  <c r="B43" i="7"/>
  <c r="A44" i="7"/>
  <c r="J41" i="7" l="1"/>
  <c r="P40" i="7"/>
  <c r="O40" i="7"/>
  <c r="R40" i="7" s="1"/>
  <c r="I44" i="7"/>
  <c r="K41" i="7"/>
  <c r="P41" i="7" s="1"/>
  <c r="G42" i="7"/>
  <c r="E43" i="7"/>
  <c r="F43" i="7" s="1"/>
  <c r="D43" i="7"/>
  <c r="C44" i="7"/>
  <c r="B44" i="7"/>
  <c r="A45" i="7"/>
  <c r="J42" i="7" l="1"/>
  <c r="I45" i="7"/>
  <c r="O41" i="7"/>
  <c r="R41" i="7" s="1"/>
  <c r="K42" i="7"/>
  <c r="E44" i="7"/>
  <c r="F44" i="7" s="1"/>
  <c r="G43" i="7"/>
  <c r="J43" i="7" s="1"/>
  <c r="B45" i="7"/>
  <c r="C45" i="7"/>
  <c r="D44" i="7"/>
  <c r="A46" i="7"/>
  <c r="O42" i="7" l="1"/>
  <c r="R42" i="7" s="1"/>
  <c r="P42" i="7"/>
  <c r="I46" i="7"/>
  <c r="K43" i="7"/>
  <c r="D45" i="7"/>
  <c r="E45" i="7"/>
  <c r="F45" i="7" s="1"/>
  <c r="G44" i="7"/>
  <c r="J44" i="7" s="1"/>
  <c r="C46" i="7"/>
  <c r="B46" i="7"/>
  <c r="A47" i="7"/>
  <c r="O43" i="7" l="1"/>
  <c r="R43" i="7" s="1"/>
  <c r="P43" i="7"/>
  <c r="I47" i="7"/>
  <c r="K44" i="7"/>
  <c r="G45" i="7"/>
  <c r="J45" i="7" s="1"/>
  <c r="E46" i="7"/>
  <c r="F46" i="7" s="1"/>
  <c r="D46" i="7"/>
  <c r="C47" i="7"/>
  <c r="B47" i="7"/>
  <c r="A48" i="7"/>
  <c r="O44" i="7" l="1"/>
  <c r="R44" i="7" s="1"/>
  <c r="P44" i="7"/>
  <c r="I48" i="7"/>
  <c r="K45" i="7"/>
  <c r="E47" i="7"/>
  <c r="F47" i="7" s="1"/>
  <c r="G46" i="7"/>
  <c r="J46" i="7" s="1"/>
  <c r="C48" i="7"/>
  <c r="B48" i="7"/>
  <c r="D47" i="7"/>
  <c r="A49" i="7"/>
  <c r="O45" i="7" l="1"/>
  <c r="R45" i="7" s="1"/>
  <c r="P45" i="7"/>
  <c r="I49" i="7"/>
  <c r="K46" i="7"/>
  <c r="G47" i="7"/>
  <c r="J47" i="7" s="1"/>
  <c r="E48" i="7"/>
  <c r="F48" i="7" s="1"/>
  <c r="B49" i="7"/>
  <c r="C49" i="7"/>
  <c r="D48" i="7"/>
  <c r="A50" i="7"/>
  <c r="O46" i="7" l="1"/>
  <c r="R46" i="7" s="1"/>
  <c r="P46" i="7"/>
  <c r="I50" i="7"/>
  <c r="K47" i="7"/>
  <c r="G48" i="7"/>
  <c r="J48" i="7" s="1"/>
  <c r="D49" i="7"/>
  <c r="E49" i="7"/>
  <c r="F49" i="7" s="1"/>
  <c r="C50" i="7"/>
  <c r="B50" i="7"/>
  <c r="A51" i="7"/>
  <c r="O47" i="7" l="1"/>
  <c r="R47" i="7" s="1"/>
  <c r="P47" i="7"/>
  <c r="I51" i="7"/>
  <c r="K48" i="7"/>
  <c r="G49" i="7"/>
  <c r="J49" i="7" s="1"/>
  <c r="E50" i="7"/>
  <c r="F50" i="7" s="1"/>
  <c r="D50" i="7"/>
  <c r="C51" i="7"/>
  <c r="B51" i="7"/>
  <c r="A52" i="7"/>
  <c r="O48" i="7" l="1"/>
  <c r="R48" i="7" s="1"/>
  <c r="P48" i="7"/>
  <c r="I52" i="7"/>
  <c r="K49" i="7"/>
  <c r="G50" i="7"/>
  <c r="J50" i="7" s="1"/>
  <c r="E51" i="7"/>
  <c r="F51" i="7" s="1"/>
  <c r="C52" i="7"/>
  <c r="B52" i="7"/>
  <c r="D51" i="7"/>
  <c r="A53" i="7"/>
  <c r="O49" i="7" l="1"/>
  <c r="R49" i="7" s="1"/>
  <c r="P49" i="7"/>
  <c r="I53" i="7"/>
  <c r="K50" i="7"/>
  <c r="G51" i="7"/>
  <c r="J51" i="7" s="1"/>
  <c r="E52" i="7"/>
  <c r="F52" i="7" s="1"/>
  <c r="D52" i="7"/>
  <c r="B53" i="7"/>
  <c r="C53" i="7"/>
  <c r="A54" i="7"/>
  <c r="O50" i="7" l="1"/>
  <c r="R50" i="7" s="1"/>
  <c r="P50" i="7"/>
  <c r="I54" i="7"/>
  <c r="K51" i="7"/>
  <c r="D53" i="7"/>
  <c r="E53" i="7"/>
  <c r="F53" i="7" s="1"/>
  <c r="G52" i="7"/>
  <c r="J52" i="7" s="1"/>
  <c r="C54" i="7"/>
  <c r="B54" i="7"/>
  <c r="A55" i="7"/>
  <c r="O51" i="7" l="1"/>
  <c r="R51" i="7" s="1"/>
  <c r="P51" i="7"/>
  <c r="I55" i="7"/>
  <c r="K52" i="7"/>
  <c r="G53" i="7"/>
  <c r="J53" i="7" s="1"/>
  <c r="E54" i="7"/>
  <c r="F54" i="7" s="1"/>
  <c r="D54" i="7"/>
  <c r="C55" i="7"/>
  <c r="B55" i="7"/>
  <c r="A56" i="7"/>
  <c r="O52" i="7" l="1"/>
  <c r="R52" i="7" s="1"/>
  <c r="P52" i="7"/>
  <c r="I56" i="7"/>
  <c r="K53" i="7"/>
  <c r="E55" i="7"/>
  <c r="F55" i="7" s="1"/>
  <c r="G54" i="7"/>
  <c r="J54" i="7" s="1"/>
  <c r="D55" i="7"/>
  <c r="C56" i="7"/>
  <c r="B56" i="7"/>
  <c r="A57" i="7"/>
  <c r="O53" i="7" l="1"/>
  <c r="R53" i="7" s="1"/>
  <c r="P53" i="7"/>
  <c r="I57" i="7"/>
  <c r="G55" i="7"/>
  <c r="J55" i="7" s="1"/>
  <c r="K54" i="7"/>
  <c r="E56" i="7"/>
  <c r="F56" i="7" s="1"/>
  <c r="D56" i="7"/>
  <c r="B57" i="7"/>
  <c r="C57" i="7"/>
  <c r="A58" i="7"/>
  <c r="O54" i="7" l="1"/>
  <c r="R54" i="7" s="1"/>
  <c r="P54" i="7"/>
  <c r="I58" i="7"/>
  <c r="K55" i="7"/>
  <c r="E57" i="7"/>
  <c r="F57" i="7" s="1"/>
  <c r="D57" i="7"/>
  <c r="G56" i="7"/>
  <c r="J56" i="7" s="1"/>
  <c r="C58" i="7"/>
  <c r="B58" i="7"/>
  <c r="A59" i="7"/>
  <c r="O55" i="7" l="1"/>
  <c r="R55" i="7" s="1"/>
  <c r="P55" i="7"/>
  <c r="I59" i="7"/>
  <c r="K56" i="7"/>
  <c r="G57" i="7"/>
  <c r="J57" i="7" s="1"/>
  <c r="E58" i="7"/>
  <c r="F58" i="7" s="1"/>
  <c r="C59" i="7"/>
  <c r="B59" i="7"/>
  <c r="D58" i="7"/>
  <c r="A60" i="7"/>
  <c r="O56" i="7" l="1"/>
  <c r="R56" i="7" s="1"/>
  <c r="P56" i="7"/>
  <c r="I60" i="7"/>
  <c r="K57" i="7"/>
  <c r="E59" i="7"/>
  <c r="F59" i="7" s="1"/>
  <c r="G58" i="7"/>
  <c r="J58" i="7" s="1"/>
  <c r="D59" i="7"/>
  <c r="C60" i="7"/>
  <c r="B60" i="7"/>
  <c r="A61" i="7"/>
  <c r="O57" i="7" l="1"/>
  <c r="R57" i="7" s="1"/>
  <c r="P57" i="7"/>
  <c r="I61" i="7"/>
  <c r="K58" i="7"/>
  <c r="E60" i="7"/>
  <c r="F60" i="7" s="1"/>
  <c r="G59" i="7"/>
  <c r="J59" i="7" s="1"/>
  <c r="B61" i="7"/>
  <c r="C61" i="7"/>
  <c r="D60" i="7"/>
  <c r="A62" i="7"/>
  <c r="O58" i="7" l="1"/>
  <c r="R58" i="7" s="1"/>
  <c r="P58" i="7"/>
  <c r="I62" i="7"/>
  <c r="K59" i="7"/>
  <c r="D61" i="7"/>
  <c r="E61" i="7"/>
  <c r="F61" i="7" s="1"/>
  <c r="G60" i="7"/>
  <c r="J60" i="7" s="1"/>
  <c r="C62" i="7"/>
  <c r="B62" i="7"/>
  <c r="A63" i="7"/>
  <c r="O59" i="7" l="1"/>
  <c r="R59" i="7" s="1"/>
  <c r="P59" i="7"/>
  <c r="I63" i="7"/>
  <c r="K60" i="7"/>
  <c r="G61" i="7"/>
  <c r="J61" i="7" s="1"/>
  <c r="E62" i="7"/>
  <c r="F62" i="7" s="1"/>
  <c r="D62" i="7"/>
  <c r="C63" i="7"/>
  <c r="B63" i="7"/>
  <c r="A64" i="7"/>
  <c r="O60" i="7" l="1"/>
  <c r="R60" i="7" s="1"/>
  <c r="P60" i="7"/>
  <c r="I64" i="7"/>
  <c r="K61" i="7"/>
  <c r="G62" i="7"/>
  <c r="J62" i="7" s="1"/>
  <c r="E63" i="7"/>
  <c r="F63" i="7" s="1"/>
  <c r="D63" i="7"/>
  <c r="C64" i="7"/>
  <c r="B64" i="7"/>
  <c r="A65" i="7"/>
  <c r="O61" i="7" l="1"/>
  <c r="R61" i="7" s="1"/>
  <c r="P61" i="7"/>
  <c r="I65" i="7"/>
  <c r="K62" i="7"/>
  <c r="G63" i="7"/>
  <c r="J63" i="7" s="1"/>
  <c r="E64" i="7"/>
  <c r="F64" i="7" s="1"/>
  <c r="D64" i="7"/>
  <c r="B65" i="7"/>
  <c r="C65" i="7"/>
  <c r="A66" i="7"/>
  <c r="O62" i="7" l="1"/>
  <c r="R62" i="7" s="1"/>
  <c r="P62" i="7"/>
  <c r="I66" i="7"/>
  <c r="K63" i="7"/>
  <c r="E65" i="7"/>
  <c r="F65" i="7" s="1"/>
  <c r="G64" i="7"/>
  <c r="J64" i="7" s="1"/>
  <c r="C66" i="7"/>
  <c r="B66" i="7"/>
  <c r="D65" i="7"/>
  <c r="A67" i="7"/>
  <c r="I67" i="7" l="1"/>
  <c r="O63" i="7"/>
  <c r="R63" i="7" s="1"/>
  <c r="P63" i="7"/>
  <c r="K64" i="7"/>
  <c r="E66" i="7"/>
  <c r="F66" i="7" s="1"/>
  <c r="D66" i="7"/>
  <c r="C67" i="7"/>
  <c r="B67" i="7"/>
  <c r="G65" i="7"/>
  <c r="J65" i="7" s="1"/>
  <c r="A68" i="7"/>
  <c r="O64" i="7" l="1"/>
  <c r="R64" i="7" s="1"/>
  <c r="P64" i="7"/>
  <c r="I68" i="7"/>
  <c r="K65" i="7"/>
  <c r="G66" i="7"/>
  <c r="J66" i="7" s="1"/>
  <c r="E67" i="7"/>
  <c r="F67" i="7" s="1"/>
  <c r="C68" i="7"/>
  <c r="B68" i="7"/>
  <c r="D67" i="7"/>
  <c r="A69" i="7"/>
  <c r="O65" i="7" l="1"/>
  <c r="R65" i="7" s="1"/>
  <c r="P65" i="7"/>
  <c r="I69" i="7"/>
  <c r="K66" i="7"/>
  <c r="E68" i="7"/>
  <c r="F68" i="7" s="1"/>
  <c r="D68" i="7"/>
  <c r="B69" i="7"/>
  <c r="C69" i="7"/>
  <c r="G67" i="7"/>
  <c r="J67" i="7" s="1"/>
  <c r="A70" i="7"/>
  <c r="O66" i="7" l="1"/>
  <c r="R66" i="7" s="1"/>
  <c r="P66" i="7"/>
  <c r="I70" i="7"/>
  <c r="K67" i="7"/>
  <c r="E69" i="7"/>
  <c r="F69" i="7" s="1"/>
  <c r="G68" i="7"/>
  <c r="J68" i="7" s="1"/>
  <c r="D69" i="7"/>
  <c r="C70" i="7"/>
  <c r="B70" i="7"/>
  <c r="A71" i="7"/>
  <c r="O67" i="7" l="1"/>
  <c r="R67" i="7" s="1"/>
  <c r="P67" i="7"/>
  <c r="I71" i="7"/>
  <c r="K68" i="7"/>
  <c r="E70" i="7"/>
  <c r="F70" i="7" s="1"/>
  <c r="G69" i="7"/>
  <c r="J69" i="7" s="1"/>
  <c r="C71" i="7"/>
  <c r="B71" i="7"/>
  <c r="D70" i="7"/>
  <c r="A72" i="7"/>
  <c r="O68" i="7" l="1"/>
  <c r="R68" i="7" s="1"/>
  <c r="P68" i="7"/>
  <c r="I72" i="7"/>
  <c r="K69" i="7"/>
  <c r="G70" i="7"/>
  <c r="J70" i="7" s="1"/>
  <c r="E71" i="7"/>
  <c r="F71" i="7" s="1"/>
  <c r="D71" i="7"/>
  <c r="C72" i="7"/>
  <c r="B72" i="7"/>
  <c r="A73" i="7"/>
  <c r="O69" i="7" l="1"/>
  <c r="R69" i="7" s="1"/>
  <c r="P69" i="7"/>
  <c r="I73" i="7"/>
  <c r="K70" i="7"/>
  <c r="G71" i="7"/>
  <c r="J71" i="7" s="1"/>
  <c r="E72" i="7"/>
  <c r="F72" i="7" s="1"/>
  <c r="B73" i="7"/>
  <c r="C73" i="7"/>
  <c r="D72" i="7"/>
  <c r="A74" i="7"/>
  <c r="O70" i="7" l="1"/>
  <c r="P70" i="7"/>
  <c r="R70" i="7" s="1"/>
  <c r="I74" i="7"/>
  <c r="K71" i="7"/>
  <c r="E73" i="7"/>
  <c r="F73" i="7" s="1"/>
  <c r="D73" i="7"/>
  <c r="G72" i="7"/>
  <c r="J72" i="7" s="1"/>
  <c r="C74" i="7"/>
  <c r="B74" i="7"/>
  <c r="A75" i="7"/>
  <c r="O71" i="7" l="1"/>
  <c r="P71" i="7"/>
  <c r="R71" i="7" s="1"/>
  <c r="I75" i="7"/>
  <c r="K72" i="7"/>
  <c r="G73" i="7"/>
  <c r="J73" i="7" s="1"/>
  <c r="E74" i="7"/>
  <c r="F74" i="7" s="1"/>
  <c r="C75" i="7"/>
  <c r="B75" i="7"/>
  <c r="D74" i="7"/>
  <c r="A76" i="7"/>
  <c r="O72" i="7" l="1"/>
  <c r="P72" i="7"/>
  <c r="R72" i="7" s="1"/>
  <c r="I76" i="7"/>
  <c r="K73" i="7"/>
  <c r="G74" i="7"/>
  <c r="J74" i="7" s="1"/>
  <c r="E75" i="7"/>
  <c r="F75" i="7" s="1"/>
  <c r="D75" i="7"/>
  <c r="C76" i="7"/>
  <c r="B76" i="7"/>
  <c r="A77" i="7"/>
  <c r="B77" i="7" l="1"/>
  <c r="C77" i="7"/>
  <c r="I77" i="7"/>
  <c r="O73" i="7"/>
  <c r="P73" i="7"/>
  <c r="R73" i="7" s="1"/>
  <c r="K74" i="7"/>
  <c r="G75" i="7"/>
  <c r="J75" i="7" s="1"/>
  <c r="E76" i="7"/>
  <c r="F76" i="7" s="1"/>
  <c r="D76" i="7"/>
  <c r="A78" i="7"/>
  <c r="D77" i="7" l="1"/>
  <c r="B78" i="7"/>
  <c r="C78" i="7"/>
  <c r="I78" i="7"/>
  <c r="E77" i="7"/>
  <c r="F77" i="7" s="1"/>
  <c r="O74" i="7"/>
  <c r="P74" i="7"/>
  <c r="R74" i="7" s="1"/>
  <c r="K75" i="7"/>
  <c r="G76" i="7"/>
  <c r="J76" i="7" s="1"/>
  <c r="A79" i="7"/>
  <c r="G77" i="7" l="1"/>
  <c r="J77" i="7" s="1"/>
  <c r="E78" i="7"/>
  <c r="F78" i="7" s="1"/>
  <c r="K77" i="7"/>
  <c r="B79" i="7"/>
  <c r="C79" i="7"/>
  <c r="I79" i="7"/>
  <c r="D78" i="7"/>
  <c r="O75" i="7"/>
  <c r="P75" i="7"/>
  <c r="R75" i="7" s="1"/>
  <c r="K76" i="7"/>
  <c r="A80" i="7"/>
  <c r="G78" i="7" l="1"/>
  <c r="J78" i="7" s="1"/>
  <c r="D79" i="7"/>
  <c r="K78" i="7"/>
  <c r="O77" i="7"/>
  <c r="P77" i="7"/>
  <c r="R77" i="7" s="1"/>
  <c r="B80" i="7"/>
  <c r="C80" i="7"/>
  <c r="I80" i="7"/>
  <c r="E79" i="7"/>
  <c r="F79" i="7" s="1"/>
  <c r="O76" i="7"/>
  <c r="P76" i="7"/>
  <c r="R76" i="7" s="1"/>
  <c r="A81" i="7"/>
  <c r="G79" i="7" l="1"/>
  <c r="J79" i="7" s="1"/>
  <c r="D80" i="7"/>
  <c r="O78" i="7"/>
  <c r="P78" i="7"/>
  <c r="R78" i="7" s="1"/>
  <c r="K79" i="7"/>
  <c r="C81" i="7"/>
  <c r="B81" i="7"/>
  <c r="I81" i="7"/>
  <c r="E80" i="7"/>
  <c r="F80" i="7" s="1"/>
  <c r="A82" i="7"/>
  <c r="G80" i="7" l="1"/>
  <c r="J80" i="7" s="1"/>
  <c r="E81" i="7"/>
  <c r="F81" i="7" s="1"/>
  <c r="K80" i="7"/>
  <c r="O79" i="7"/>
  <c r="P79" i="7"/>
  <c r="R79" i="7" s="1"/>
  <c r="B82" i="7"/>
  <c r="C82" i="7"/>
  <c r="I82" i="7"/>
  <c r="A83" i="7"/>
  <c r="A84" i="7" s="1"/>
  <c r="D81" i="7"/>
  <c r="G81" i="7" s="1"/>
  <c r="J81" i="7" s="1"/>
  <c r="K81" i="7" l="1"/>
  <c r="O80" i="7"/>
  <c r="P80" i="7"/>
  <c r="R80" i="7" s="1"/>
  <c r="D82" i="7"/>
  <c r="B84" i="7"/>
  <c r="C84" i="7"/>
  <c r="A85" i="7"/>
  <c r="C83" i="7"/>
  <c r="B83" i="7"/>
  <c r="I83" i="7"/>
  <c r="E82" i="7"/>
  <c r="F82" i="7" s="1"/>
  <c r="G82" i="7" l="1"/>
  <c r="J82" i="7" s="1"/>
  <c r="K82" i="7" s="1"/>
  <c r="E83" i="7"/>
  <c r="F83" i="7" s="1"/>
  <c r="D84" i="7"/>
  <c r="O81" i="7"/>
  <c r="P81" i="7"/>
  <c r="R81" i="7" s="1"/>
  <c r="I84" i="7"/>
  <c r="D83" i="7"/>
  <c r="B85" i="7"/>
  <c r="C85" i="7"/>
  <c r="A86" i="7"/>
  <c r="E84" i="7"/>
  <c r="F84" i="7" s="1"/>
  <c r="G83" i="7" l="1"/>
  <c r="J83" i="7" s="1"/>
  <c r="K83" i="7" s="1"/>
  <c r="G84" i="7"/>
  <c r="J84" i="7" s="1"/>
  <c r="K84" i="7" s="1"/>
  <c r="D85" i="7"/>
  <c r="E85" i="7"/>
  <c r="F85" i="7" s="1"/>
  <c r="O82" i="7"/>
  <c r="P82" i="7"/>
  <c r="R82" i="7" s="1"/>
  <c r="A87" i="7"/>
  <c r="B86" i="7"/>
  <c r="C86" i="7"/>
  <c r="I85" i="7"/>
  <c r="G85" i="7" l="1"/>
  <c r="J85" i="7" s="1"/>
  <c r="O84" i="7"/>
  <c r="P84" i="7"/>
  <c r="R84" i="7" s="1"/>
  <c r="E86" i="7"/>
  <c r="F86" i="7" s="1"/>
  <c r="K85" i="7"/>
  <c r="O85" i="7" s="1"/>
  <c r="O83" i="7"/>
  <c r="P83" i="7"/>
  <c r="R83" i="7" s="1"/>
  <c r="I86" i="7"/>
  <c r="D86" i="7"/>
  <c r="A88" i="7"/>
  <c r="C87" i="7"/>
  <c r="B87" i="7"/>
  <c r="G86" i="7" l="1"/>
  <c r="J86" i="7" s="1"/>
  <c r="K86" i="7" s="1"/>
  <c r="O86" i="7" s="1"/>
  <c r="E87" i="7"/>
  <c r="F87" i="7" s="1"/>
  <c r="P85" i="7"/>
  <c r="R85" i="7" s="1"/>
  <c r="D87" i="7"/>
  <c r="A89" i="7"/>
  <c r="B88" i="7"/>
  <c r="C88" i="7"/>
  <c r="I87" i="7"/>
  <c r="P86" i="7" l="1"/>
  <c r="R86" i="7" s="1"/>
  <c r="G87" i="7"/>
  <c r="J87" i="7" s="1"/>
  <c r="K87" i="7" s="1"/>
  <c r="O87" i="7" s="1"/>
  <c r="D88" i="7"/>
  <c r="E88" i="7"/>
  <c r="F88" i="7" s="1"/>
  <c r="A90" i="7"/>
  <c r="B89" i="7"/>
  <c r="C89" i="7"/>
  <c r="I88" i="7"/>
  <c r="P87" i="7" l="1"/>
  <c r="R87" i="7" s="1"/>
  <c r="G88" i="7"/>
  <c r="J88" i="7" s="1"/>
  <c r="K88" i="7" s="1"/>
  <c r="D89" i="7"/>
  <c r="I89" i="7"/>
  <c r="E89" i="7"/>
  <c r="F89" i="7" s="1"/>
  <c r="A91" i="7"/>
  <c r="B90" i="7"/>
  <c r="C90" i="7"/>
  <c r="O88" i="7" l="1"/>
  <c r="P88" i="7"/>
  <c r="R88" i="7" s="1"/>
  <c r="G89" i="7"/>
  <c r="J89" i="7" s="1"/>
  <c r="K89" i="7" s="1"/>
  <c r="O89" i="7" s="1"/>
  <c r="E90" i="7"/>
  <c r="F90" i="7" s="1"/>
  <c r="D90" i="7"/>
  <c r="A92" i="7"/>
  <c r="C91" i="7"/>
  <c r="B91" i="7"/>
  <c r="I90" i="7"/>
  <c r="P89" i="7" l="1"/>
  <c r="R89" i="7" s="1"/>
  <c r="D91" i="7"/>
  <c r="G90" i="7"/>
  <c r="J90" i="7" s="1"/>
  <c r="I91" i="7"/>
  <c r="E91" i="7"/>
  <c r="F91" i="7" s="1"/>
  <c r="A93" i="7"/>
  <c r="B92" i="7"/>
  <c r="C92" i="7"/>
  <c r="G91" i="7" l="1"/>
  <c r="J91" i="7" s="1"/>
  <c r="K91" i="7" s="1"/>
  <c r="D92" i="7"/>
  <c r="K90" i="7"/>
  <c r="A94" i="7"/>
  <c r="C93" i="7"/>
  <c r="B93" i="7"/>
  <c r="E92" i="7"/>
  <c r="F92" i="7" s="1"/>
  <c r="I92" i="7"/>
  <c r="O91" i="7" l="1"/>
  <c r="P91" i="7"/>
  <c r="R91" i="7" s="1"/>
  <c r="G92" i="7"/>
  <c r="J92" i="7" s="1"/>
  <c r="K92" i="7" s="1"/>
  <c r="O92" i="7" s="1"/>
  <c r="O90" i="7"/>
  <c r="P90" i="7"/>
  <c r="R90" i="7" s="1"/>
  <c r="E93" i="7"/>
  <c r="F93" i="7" s="1"/>
  <c r="I93" i="7"/>
  <c r="A95" i="7"/>
  <c r="B94" i="7"/>
  <c r="C94" i="7"/>
  <c r="D93" i="7"/>
  <c r="D94" i="7" l="1"/>
  <c r="P92" i="7"/>
  <c r="R92" i="7" s="1"/>
  <c r="G93" i="7"/>
  <c r="J93" i="7" s="1"/>
  <c r="K93" i="7" s="1"/>
  <c r="A96" i="7"/>
  <c r="B95" i="7"/>
  <c r="C95" i="7"/>
  <c r="E94" i="7"/>
  <c r="F94" i="7" s="1"/>
  <c r="I94" i="7"/>
  <c r="O93" i="7" l="1"/>
  <c r="P93" i="7"/>
  <c r="R93" i="7" s="1"/>
  <c r="G94" i="7"/>
  <c r="J94" i="7" s="1"/>
  <c r="K94" i="7" s="1"/>
  <c r="D95" i="7"/>
  <c r="I95" i="7"/>
  <c r="A97" i="7"/>
  <c r="B96" i="7"/>
  <c r="C96" i="7"/>
  <c r="E95" i="7"/>
  <c r="F95" i="7" s="1"/>
  <c r="G95" i="7" l="1"/>
  <c r="J95" i="7" s="1"/>
  <c r="K95" i="7" s="1"/>
  <c r="E96" i="7"/>
  <c r="F96" i="7" s="1"/>
  <c r="O94" i="7"/>
  <c r="P94" i="7"/>
  <c r="R94" i="7" s="1"/>
  <c r="D96" i="7"/>
  <c r="A98" i="7"/>
  <c r="C97" i="7"/>
  <c r="B97" i="7"/>
  <c r="I96" i="7"/>
  <c r="G96" i="7" l="1"/>
  <c r="J96" i="7" s="1"/>
  <c r="O95" i="7"/>
  <c r="P95" i="7"/>
  <c r="R95" i="7" s="1"/>
  <c r="E97" i="7"/>
  <c r="F97" i="7" s="1"/>
  <c r="K96" i="7"/>
  <c r="O96" i="7" s="1"/>
  <c r="A99" i="7"/>
  <c r="B98" i="7"/>
  <c r="C98" i="7"/>
  <c r="I97" i="7"/>
  <c r="D97" i="7"/>
  <c r="G97" i="7" s="1"/>
  <c r="J97" i="7" s="1"/>
  <c r="P96" i="7" l="1"/>
  <c r="R96" i="7" s="1"/>
  <c r="E98" i="7"/>
  <c r="F98" i="7" s="1"/>
  <c r="K97" i="7"/>
  <c r="O97" i="7" s="1"/>
  <c r="I98" i="7"/>
  <c r="D98" i="7"/>
  <c r="A100" i="7"/>
  <c r="C99" i="7"/>
  <c r="B99" i="7"/>
  <c r="D99" i="7" l="1"/>
  <c r="G98" i="7"/>
  <c r="J98" i="7" s="1"/>
  <c r="K98" i="7" s="1"/>
  <c r="O98" i="7" s="1"/>
  <c r="P97" i="7"/>
  <c r="R97" i="7" s="1"/>
  <c r="E99" i="7"/>
  <c r="F99" i="7" s="1"/>
  <c r="A101" i="7"/>
  <c r="B100" i="7"/>
  <c r="C100" i="7"/>
  <c r="I99" i="7"/>
  <c r="G99" i="7" l="1"/>
  <c r="J99" i="7" s="1"/>
  <c r="P98" i="7"/>
  <c r="R98" i="7" s="1"/>
  <c r="E100" i="7"/>
  <c r="F100" i="7" s="1"/>
  <c r="K99" i="7"/>
  <c r="O99" i="7" s="1"/>
  <c r="I100" i="7"/>
  <c r="D100" i="7"/>
  <c r="A102" i="7"/>
  <c r="C101" i="7"/>
  <c r="B101" i="7"/>
  <c r="G100" i="7" l="1"/>
  <c r="J100" i="7" s="1"/>
  <c r="K100" i="7" s="1"/>
  <c r="O100" i="7" s="1"/>
  <c r="P99" i="7"/>
  <c r="R99" i="7" s="1"/>
  <c r="D101" i="7"/>
  <c r="E101" i="7"/>
  <c r="F101" i="7" s="1"/>
  <c r="G101" i="7" s="1"/>
  <c r="J101" i="7" s="1"/>
  <c r="A103" i="7"/>
  <c r="B102" i="7"/>
  <c r="C102" i="7"/>
  <c r="I101" i="7"/>
  <c r="P100" i="7" l="1"/>
  <c r="R100" i="7" s="1"/>
  <c r="E102" i="7"/>
  <c r="F102" i="7" s="1"/>
  <c r="K101" i="7"/>
  <c r="O101" i="7" s="1"/>
  <c r="I102" i="7"/>
  <c r="D102" i="7"/>
  <c r="A104" i="7"/>
  <c r="B103" i="7"/>
  <c r="C103" i="7"/>
  <c r="P101" i="7" l="1"/>
  <c r="R101" i="7" s="1"/>
  <c r="G102" i="7"/>
  <c r="J102" i="7" s="1"/>
  <c r="K102" i="7" s="1"/>
  <c r="O102" i="7" s="1"/>
  <c r="D103" i="7"/>
  <c r="B104" i="7"/>
  <c r="C104" i="7"/>
  <c r="I103" i="7"/>
  <c r="E103" i="7"/>
  <c r="F103" i="7" s="1"/>
  <c r="P102" i="7" l="1"/>
  <c r="R102" i="7" s="1"/>
  <c r="E104" i="7"/>
  <c r="F104" i="7" s="1"/>
  <c r="G103" i="7"/>
  <c r="J103" i="7" s="1"/>
  <c r="K103" i="7" s="1"/>
  <c r="I104" i="7"/>
  <c r="D104" i="7"/>
  <c r="G104" i="7" l="1"/>
  <c r="J104" i="7" s="1"/>
  <c r="O103" i="7"/>
  <c r="P103" i="7"/>
  <c r="R103" i="7" s="1"/>
  <c r="K104" i="7"/>
  <c r="O104" i="7" s="1"/>
  <c r="P104" i="7" l="1"/>
  <c r="R104" i="7" s="1"/>
  <c r="B1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Germán López Pineda</author>
  </authors>
  <commentList>
    <comment ref="B12" authorId="0" shapeId="0" xr:uid="{A059F55F-C360-40FB-B93F-97F37AED5E69}">
      <text>
        <r>
          <rPr>
            <sz val="9"/>
            <color indexed="81"/>
            <rFont val="Tahoma"/>
            <family val="2"/>
          </rPr>
          <t xml:space="preserve">Dejarlo asi es bastante preciso
</t>
        </r>
      </text>
    </comment>
    <comment ref="I39" authorId="0" shapeId="0" xr:uid="{5C523DFC-35CE-4ABF-B4A0-049863074197}">
      <text>
        <r>
          <rPr>
            <sz val="9"/>
            <color indexed="81"/>
            <rFont val="Tahoma"/>
            <family val="2"/>
          </rPr>
          <t xml:space="preserve">Tensión efectiva del terreno
</t>
        </r>
      </text>
    </comment>
    <comment ref="J39" authorId="0" shapeId="0" xr:uid="{00000000-0006-0000-0000-000001000000}">
      <text>
        <r>
          <rPr>
            <sz val="9"/>
            <color indexed="81"/>
            <rFont val="Tahoma"/>
            <family val="2"/>
          </rPr>
          <t>Se calcula la parte de la mitad del terraplén que es la que se tiene en cuenta en la formulación</t>
        </r>
      </text>
    </comment>
    <comment ref="K39" authorId="0" shapeId="0" xr:uid="{0583A16D-311C-4FA6-B021-1FEBE66274CE}">
      <text>
        <r>
          <rPr>
            <sz val="9"/>
            <color indexed="81"/>
            <rFont val="Tahoma"/>
            <family val="2"/>
          </rPr>
          <t>Se calcula la parte de la mitad del terraplén que es la que se tiene en cuenta en la formulación</t>
        </r>
      </text>
    </comment>
    <comment ref="O39" authorId="0" shapeId="0" xr:uid="{79F82690-33A8-4341-AB15-D8D2B56A5CBF}">
      <text>
        <r>
          <rPr>
            <sz val="9"/>
            <color indexed="81"/>
            <rFont val="Tahoma"/>
            <family val="2"/>
          </rPr>
          <t xml:space="preserve">Asiento en cada segmento de los estratos considerados
</t>
        </r>
      </text>
    </comment>
    <comment ref="P39" authorId="0" shapeId="0" xr:uid="{E418B80B-F8C7-4C31-8CB3-5F487BC39FF6}">
      <text>
        <r>
          <rPr>
            <sz val="9"/>
            <color indexed="81"/>
            <rFont val="Tahoma"/>
            <family val="2"/>
          </rPr>
          <t xml:space="preserve">Asiento en cada segmento de los estratos considerados
</t>
        </r>
      </text>
    </comment>
    <comment ref="R39" authorId="0" shapeId="0" xr:uid="{DA1F88C0-2E33-46F5-A5A2-E2B977393DB5}">
      <text>
        <r>
          <rPr>
            <sz val="9"/>
            <color indexed="81"/>
            <rFont val="Tahoma"/>
            <family val="2"/>
          </rPr>
          <t xml:space="preserve">Asiento en cada segmento de los estratos considerados
</t>
        </r>
      </text>
    </comment>
  </commentList>
</comments>
</file>

<file path=xl/sharedStrings.xml><?xml version="1.0" encoding="utf-8"?>
<sst xmlns="http://schemas.openxmlformats.org/spreadsheetml/2006/main" count="65" uniqueCount="51">
  <si>
    <t>Datos</t>
  </si>
  <si>
    <t>m</t>
  </si>
  <si>
    <t>kPa</t>
  </si>
  <si>
    <t>z[m]</t>
  </si>
  <si>
    <r>
      <rPr>
        <b/>
        <sz val="11"/>
        <color theme="1"/>
        <rFont val="Symbol"/>
        <family val="1"/>
        <charset val="2"/>
      </rPr>
      <t>s</t>
    </r>
    <r>
      <rPr>
        <b/>
        <vertAlign val="subscript"/>
        <sz val="11"/>
        <color theme="1"/>
        <rFont val="Calibri"/>
        <family val="2"/>
        <scheme val="minor"/>
      </rPr>
      <t>z</t>
    </r>
    <r>
      <rPr>
        <b/>
        <sz val="11"/>
        <color theme="1"/>
        <rFont val="Calibri"/>
        <family val="2"/>
        <scheme val="minor"/>
      </rPr>
      <t>[Kpa]</t>
    </r>
  </si>
  <si>
    <t>cm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</si>
  <si>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</si>
  <si>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v</t>
    </r>
  </si>
  <si>
    <t>Valor</t>
  </si>
  <si>
    <t>Unidades</t>
  </si>
  <si>
    <t>Descripción</t>
  </si>
  <si>
    <t>n</t>
  </si>
  <si>
    <t>zmax</t>
  </si>
  <si>
    <t>iz</t>
  </si>
  <si>
    <t>incremento de z</t>
  </si>
  <si>
    <t>Carga sobre cimentación</t>
  </si>
  <si>
    <t>1er Término</t>
  </si>
  <si>
    <t>2º Térm_corregido</t>
  </si>
  <si>
    <t>I</t>
  </si>
  <si>
    <t>Esquina</t>
  </si>
  <si>
    <t>Asiento</t>
  </si>
  <si>
    <t>Realiza el cálculo con respecto a la esquina de la cimentación</t>
  </si>
  <si>
    <t>Centro</t>
  </si>
  <si>
    <t>Profundidad recomendada a calcular</t>
  </si>
  <si>
    <t>E[KPa]</t>
  </si>
  <si>
    <t>centro</t>
  </si>
  <si>
    <t>L/2</t>
  </si>
  <si>
    <t>B/2</t>
  </si>
  <si>
    <t>Sólo se usan asientos procedente de tensiones verticales</t>
  </si>
  <si>
    <t>Cc</t>
  </si>
  <si>
    <t>e0</t>
  </si>
  <si>
    <t>Elasticos</t>
  </si>
  <si>
    <t>Consolidación</t>
  </si>
  <si>
    <t>Asientos Elásticos</t>
  </si>
  <si>
    <t>Tipo asiento</t>
  </si>
  <si>
    <t>Incrementos</t>
  </si>
  <si>
    <r>
      <t>g</t>
    </r>
    <r>
      <rPr>
        <b/>
        <sz val="11"/>
        <color theme="1"/>
        <rFont val="Calibri"/>
        <family val="2"/>
      </rPr>
      <t>'[KN/m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]</t>
    </r>
  </si>
  <si>
    <r>
      <rPr>
        <b/>
        <sz val="11"/>
        <color theme="1"/>
        <rFont val="Symbol"/>
        <family val="1"/>
        <charset val="2"/>
      </rPr>
      <t>s</t>
    </r>
    <r>
      <rPr>
        <b/>
        <vertAlign val="subscript"/>
        <sz val="11"/>
        <color theme="1"/>
        <rFont val="Calibri"/>
        <family val="2"/>
        <scheme val="minor"/>
      </rPr>
      <t>z0</t>
    </r>
    <r>
      <rPr>
        <b/>
        <sz val="11"/>
        <color theme="1"/>
        <rFont val="Calibri"/>
        <family val="2"/>
        <scheme val="minor"/>
      </rPr>
      <t xml:space="preserve">'[Kpa] </t>
    </r>
  </si>
  <si>
    <t>Tensión efectiva</t>
  </si>
  <si>
    <t>Mitad de la dimensión mayor de la cimentación</t>
  </si>
  <si>
    <t>Mitad de la dimensión menor de la cimentación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</si>
  <si>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[cm]</t>
    </r>
  </si>
  <si>
    <t>Selección del tipo de asientos a calcular</t>
  </si>
  <si>
    <t>Elásticos</t>
  </si>
  <si>
    <t>Elástico</t>
  </si>
  <si>
    <t>2º Termino</t>
  </si>
  <si>
    <t>1 Elástico</t>
  </si>
  <si>
    <t>2 Consolidación</t>
  </si>
  <si>
    <t>Tensión por carga</t>
  </si>
  <si>
    <t xml:space="preserve">Parámetros </t>
  </si>
  <si>
    <t>CALCULO DE ASIENTOS ELÁSTICOS Y POR CONSOLIDACIÓN DE UNA CARGA RECTANGULAR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</si>
</sst>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1"/>
      <charset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left"/>
    </xf>
    <xf numFmtId="0" fontId="4" fillId="0" borderId="0" xfId="0" applyFont="1"/>
    <xf numFmtId="0" fontId="0" fillId="3" borderId="1" xfId="0" applyFont="1" applyFill="1" applyBorder="1"/>
    <xf numFmtId="2" fontId="0" fillId="3" borderId="1" xfId="0" applyNumberFormat="1" applyFont="1" applyFill="1" applyBorder="1"/>
    <xf numFmtId="0" fontId="1" fillId="0" borderId="0" xfId="0" applyFont="1" applyFill="1" applyBorder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0" fillId="0" borderId="0" xfId="0" applyFont="1"/>
    <xf numFmtId="0" fontId="1" fillId="3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820208</xdr:colOff>
      <xdr:row>4</xdr:row>
      <xdr:rowOff>26264</xdr:rowOff>
    </xdr:from>
    <xdr:to>
      <xdr:col>10</xdr:col>
      <xdr:colOff>515561</xdr:colOff>
      <xdr:row>18</xdr:row>
      <xdr:rowOff>168239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915" t="33858" r="25251" b="24796"/>
        <a:stretch/>
      </xdr:blipFill>
      <xdr:spPr>
        <a:xfrm>
          <a:off x="5691565" y="856300"/>
          <a:ext cx="4240139" cy="2889106"/>
        </a:xfrm>
        <a:prstGeom prst="rect">
          <a:avLst/>
        </a:prstGeom>
      </xdr:spPr>
    </xdr:pic>
    <xdr:clientData/>
  </xdr:twoCellAnchor>
  <xdr:twoCellAnchor editAs="oneCell">
    <xdr:from>
      <xdr:col>4</xdr:col>
      <xdr:colOff>718562</xdr:colOff>
      <xdr:row>22</xdr:row>
      <xdr:rowOff>64308</xdr:rowOff>
    </xdr:from>
    <xdr:to>
      <xdr:col>10</xdr:col>
      <xdr:colOff>222178</xdr:colOff>
      <xdr:row>32</xdr:row>
      <xdr:rowOff>2967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017" t="39881" r="26684" b="35213"/>
        <a:stretch/>
      </xdr:blipFill>
      <xdr:spPr>
        <a:xfrm>
          <a:off x="4338062" y="4364165"/>
          <a:ext cx="5300259" cy="1843659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19</xdr:row>
      <xdr:rowOff>133350</xdr:rowOff>
    </xdr:from>
    <xdr:to>
      <xdr:col>4</xdr:col>
      <xdr:colOff>530304</xdr:colOff>
      <xdr:row>31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678000-877A-4C54-BC5D-B8A7B3E1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848100"/>
          <a:ext cx="3806904" cy="2152650"/>
        </a:xfrm>
        <a:prstGeom prst="rect">
          <a:avLst/>
        </a:prstGeom>
      </xdr:spPr>
    </xdr:pic>
    <xdr:clientData/>
  </xdr:twoCellAnchor>
  <xdr:twoCellAnchor editAs="oneCell">
    <xdr:from>
      <xdr:col>11</xdr:col>
      <xdr:colOff>27214</xdr:colOff>
      <xdr:row>11</xdr:row>
      <xdr:rowOff>59175</xdr:rowOff>
    </xdr:from>
    <xdr:to>
      <xdr:col>15</xdr:col>
      <xdr:colOff>581975</xdr:colOff>
      <xdr:row>23</xdr:row>
      <xdr:rowOff>88333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18A797-20BF-42FD-A347-E023FCEA0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05357" y="2222711"/>
          <a:ext cx="3711618" cy="2395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2:R105"/>
  <sheetViews>
    <sheetView showGridLines="0" tabSelected="1" view="pageBreakPreview" zoomScale="70" zoomScaleNormal="70" zoomScaleSheetLayoutView="70" workbookViewId="0">
      <selection activeCell="P40" sqref="P40"/>
    </sheetView>
  </sheetViews>
  <sheetFormatPr baseColWidth="10" defaultRowHeight="15"/>
  <cols>
    <col min="3" max="3" width="13.85546875" customWidth="1"/>
    <col min="4" max="4" width="17.5703125" customWidth="1"/>
    <col min="5" max="5" width="18.7109375" bestFit="1" customWidth="1"/>
    <col min="6" max="6" width="22.42578125" bestFit="1" customWidth="1"/>
    <col min="15" max="15" width="13" bestFit="1" customWidth="1"/>
    <col min="16" max="16" width="17.7109375" bestFit="1" customWidth="1"/>
    <col min="17" max="17" width="19.7109375" bestFit="1" customWidth="1"/>
    <col min="18" max="18" width="10.28515625" bestFit="1" customWidth="1"/>
    <col min="19" max="19" width="11.42578125" customWidth="1"/>
  </cols>
  <sheetData>
    <row r="2" spans="1:15" ht="19.5">
      <c r="A2" s="25" t="s">
        <v>50</v>
      </c>
    </row>
    <row r="3" spans="1:15" ht="15.75">
      <c r="A3" s="7"/>
    </row>
    <row r="5" spans="1:15">
      <c r="A5" t="s">
        <v>21</v>
      </c>
    </row>
    <row r="7" spans="1:15">
      <c r="A7" s="1" t="s">
        <v>0</v>
      </c>
      <c r="B7" s="17" t="s">
        <v>8</v>
      </c>
      <c r="C7" s="17" t="s">
        <v>9</v>
      </c>
      <c r="D7" s="6" t="s">
        <v>10</v>
      </c>
    </row>
    <row r="8" spans="1:15">
      <c r="G8" s="14"/>
      <c r="H8" s="14"/>
      <c r="I8" s="14"/>
      <c r="J8" s="14"/>
      <c r="K8" s="14"/>
      <c r="L8" s="14"/>
      <c r="M8" s="14"/>
      <c r="N8" s="14"/>
      <c r="O8" s="14"/>
    </row>
    <row r="9" spans="1:15">
      <c r="A9" s="1" t="s">
        <v>26</v>
      </c>
      <c r="B9" s="5">
        <v>1</v>
      </c>
      <c r="C9" s="11" t="s">
        <v>1</v>
      </c>
      <c r="D9" t="s">
        <v>39</v>
      </c>
      <c r="G9" s="14"/>
      <c r="H9" s="14"/>
      <c r="I9" s="14"/>
      <c r="J9" s="14"/>
      <c r="K9" s="14"/>
      <c r="L9" s="14"/>
      <c r="M9" s="14"/>
      <c r="N9" s="14"/>
      <c r="O9" s="14"/>
    </row>
    <row r="10" spans="1:15">
      <c r="A10" s="1" t="s">
        <v>27</v>
      </c>
      <c r="B10" s="5">
        <v>1</v>
      </c>
      <c r="C10" s="11" t="s">
        <v>1</v>
      </c>
      <c r="D10" t="s">
        <v>40</v>
      </c>
      <c r="G10" s="14"/>
      <c r="H10" s="14"/>
      <c r="I10" s="14"/>
      <c r="J10" s="14"/>
      <c r="K10" s="14"/>
      <c r="L10" s="14"/>
      <c r="M10" s="14"/>
      <c r="N10" s="14"/>
      <c r="O10" s="14"/>
    </row>
    <row r="11" spans="1:15">
      <c r="A11" s="1" t="s">
        <v>12</v>
      </c>
      <c r="B11" s="5">
        <f>2*B10*1.5</f>
        <v>3</v>
      </c>
      <c r="C11" s="11" t="s">
        <v>1</v>
      </c>
      <c r="D11" t="s">
        <v>23</v>
      </c>
      <c r="G11" s="14"/>
      <c r="H11" s="14"/>
      <c r="I11" s="14"/>
      <c r="J11" s="14"/>
      <c r="K11" s="14"/>
      <c r="L11" s="14"/>
      <c r="M11" s="14"/>
      <c r="N11" s="14"/>
      <c r="O11" s="14"/>
    </row>
    <row r="12" spans="1:15">
      <c r="A12" s="1" t="s">
        <v>13</v>
      </c>
      <c r="B12" s="5">
        <v>0.1</v>
      </c>
      <c r="C12" s="11" t="s">
        <v>1</v>
      </c>
      <c r="D12" t="s">
        <v>14</v>
      </c>
      <c r="G12" s="14"/>
      <c r="H12" s="14"/>
      <c r="I12" s="14"/>
      <c r="J12" s="14"/>
      <c r="K12" s="14"/>
      <c r="L12" s="14"/>
      <c r="M12" s="14"/>
      <c r="N12" s="14"/>
      <c r="O12" s="14"/>
    </row>
    <row r="13" spans="1:15">
      <c r="A13" s="1"/>
      <c r="B13" s="11"/>
      <c r="C13" s="11"/>
      <c r="G13" s="14"/>
      <c r="H13" s="14"/>
      <c r="I13" s="14"/>
      <c r="J13" s="14"/>
      <c r="K13" s="14"/>
      <c r="L13" s="14"/>
      <c r="M13" s="14"/>
      <c r="N13" s="14"/>
      <c r="O13" s="14"/>
    </row>
    <row r="14" spans="1:15" ht="18">
      <c r="A14" s="1" t="s">
        <v>7</v>
      </c>
      <c r="B14" s="8">
        <v>260</v>
      </c>
      <c r="C14" s="11" t="s">
        <v>2</v>
      </c>
      <c r="D14" t="s">
        <v>15</v>
      </c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18">
      <c r="A15" s="6" t="s">
        <v>6</v>
      </c>
      <c r="B15" s="9">
        <f>SUM(R40:R104)</f>
        <v>1.6039916575914719</v>
      </c>
      <c r="C15" s="11" t="s">
        <v>5</v>
      </c>
      <c r="D15" t="s">
        <v>22</v>
      </c>
      <c r="G15" s="14"/>
      <c r="H15" s="14"/>
      <c r="I15" s="14"/>
      <c r="J15" s="14"/>
      <c r="K15" s="14"/>
      <c r="L15" s="14"/>
      <c r="M15" s="14"/>
      <c r="N15" s="14"/>
      <c r="O15" s="14"/>
    </row>
    <row r="16" spans="1:15">
      <c r="A16" s="6"/>
      <c r="C16" s="11"/>
      <c r="G16" s="14"/>
      <c r="H16" s="14"/>
      <c r="I16" s="14"/>
      <c r="J16" s="14"/>
      <c r="K16" s="14"/>
      <c r="L16" s="14"/>
      <c r="M16" s="14"/>
      <c r="N16" s="14"/>
      <c r="O16" s="14"/>
    </row>
    <row r="17" spans="1:15">
      <c r="B17" s="11"/>
      <c r="C17" s="11"/>
      <c r="G17" s="14"/>
      <c r="H17" s="14"/>
      <c r="I17" s="14"/>
      <c r="J17" s="14"/>
      <c r="K17" s="14"/>
      <c r="L17" s="14"/>
      <c r="M17" s="14"/>
      <c r="N17" s="14"/>
      <c r="O17" s="14"/>
    </row>
    <row r="18" spans="1:15">
      <c r="A18" s="10"/>
      <c r="B18" s="11"/>
      <c r="C18" s="11"/>
      <c r="G18" s="14"/>
      <c r="H18" s="14"/>
      <c r="I18" s="14"/>
      <c r="J18" s="14"/>
      <c r="K18" s="14"/>
      <c r="L18" s="14"/>
      <c r="M18" s="14"/>
      <c r="N18" s="14"/>
      <c r="O18" s="14"/>
    </row>
    <row r="19" spans="1:15">
      <c r="A19" s="10"/>
      <c r="B19" s="21" t="s">
        <v>33</v>
      </c>
      <c r="C19" s="11"/>
      <c r="G19" s="14"/>
      <c r="H19" s="14"/>
      <c r="I19" s="14"/>
      <c r="J19" s="14"/>
      <c r="K19" s="14"/>
      <c r="L19" s="14"/>
      <c r="M19" s="14"/>
      <c r="N19" s="14"/>
      <c r="O19" s="14"/>
    </row>
    <row r="20" spans="1:15">
      <c r="C20" s="11"/>
      <c r="G20" s="14"/>
      <c r="H20" s="14"/>
      <c r="I20" s="14"/>
      <c r="J20" s="14"/>
      <c r="K20" s="14"/>
      <c r="L20" s="14"/>
      <c r="M20" s="14"/>
      <c r="N20" s="14"/>
      <c r="O20" s="14"/>
    </row>
    <row r="21" spans="1:15">
      <c r="C21" s="11"/>
      <c r="G21" s="14"/>
      <c r="H21" s="14"/>
      <c r="I21" s="14"/>
      <c r="J21" s="14"/>
      <c r="K21" s="14"/>
      <c r="L21" s="14"/>
      <c r="M21" s="14"/>
      <c r="N21" s="14"/>
      <c r="O21" s="14"/>
    </row>
    <row r="22" spans="1:15">
      <c r="A22" s="1"/>
      <c r="G22" s="14"/>
      <c r="H22" s="14"/>
      <c r="I22" s="14"/>
      <c r="J22" s="14"/>
      <c r="K22" s="14"/>
      <c r="L22" s="14"/>
      <c r="M22" s="14"/>
      <c r="N22" s="14"/>
      <c r="O22" s="14"/>
    </row>
    <row r="23" spans="1:15">
      <c r="G23" s="14"/>
      <c r="H23" s="14"/>
      <c r="I23" s="14"/>
      <c r="J23" s="14"/>
      <c r="K23" s="14"/>
      <c r="L23" s="14"/>
      <c r="M23" s="14"/>
      <c r="N23" s="14"/>
      <c r="O23" s="14"/>
    </row>
    <row r="24" spans="1:15">
      <c r="G24" s="14"/>
      <c r="H24" s="14"/>
      <c r="I24" s="14"/>
      <c r="J24" s="14"/>
      <c r="K24" s="14"/>
      <c r="L24" s="14"/>
      <c r="M24" s="14"/>
      <c r="N24" s="14"/>
      <c r="O24" s="14"/>
    </row>
    <row r="25" spans="1:15">
      <c r="A25" s="6"/>
      <c r="G25" s="14"/>
      <c r="H25" s="14"/>
      <c r="I25" s="14"/>
      <c r="J25" s="14"/>
      <c r="K25" s="14"/>
      <c r="L25" s="14"/>
      <c r="M25" s="14"/>
      <c r="N25" s="14"/>
      <c r="O25" s="14"/>
    </row>
    <row r="26" spans="1:15">
      <c r="A26" s="6"/>
      <c r="G26" s="14"/>
      <c r="H26" s="14"/>
      <c r="I26" s="14"/>
      <c r="J26" s="14"/>
      <c r="K26" s="14"/>
      <c r="L26" s="14"/>
      <c r="M26" s="14"/>
      <c r="N26" s="14"/>
      <c r="O26" s="14"/>
    </row>
    <row r="27" spans="1:15">
      <c r="A27" s="6"/>
      <c r="G27" s="14"/>
      <c r="H27" s="14"/>
      <c r="I27" s="14"/>
      <c r="J27" s="14"/>
      <c r="K27" s="14"/>
      <c r="L27" t="s">
        <v>42</v>
      </c>
      <c r="O27" s="14"/>
    </row>
    <row r="28" spans="1:15">
      <c r="A28" s="6"/>
      <c r="G28" s="14"/>
      <c r="H28" s="14"/>
      <c r="I28" s="14"/>
      <c r="J28" s="14"/>
      <c r="K28" s="14"/>
      <c r="L28" s="19">
        <v>1</v>
      </c>
      <c r="M28" s="1" t="s">
        <v>43</v>
      </c>
      <c r="O28" s="14"/>
    </row>
    <row r="29" spans="1:15">
      <c r="A29" s="6"/>
      <c r="G29" s="14"/>
      <c r="H29" s="14"/>
      <c r="I29" s="14"/>
      <c r="J29" s="14"/>
      <c r="K29" s="14"/>
      <c r="L29" s="19">
        <v>2</v>
      </c>
      <c r="M29" s="1" t="s">
        <v>32</v>
      </c>
      <c r="O29" s="14"/>
    </row>
    <row r="30" spans="1:15">
      <c r="A30" s="6"/>
      <c r="G30" s="14"/>
      <c r="H30" s="14"/>
      <c r="I30" s="14"/>
      <c r="J30" s="14"/>
      <c r="K30" s="14"/>
      <c r="L30" s="14"/>
      <c r="M30" s="14"/>
      <c r="N30" s="14"/>
      <c r="O30" s="14"/>
    </row>
    <row r="31" spans="1:15">
      <c r="A31" s="6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A32" s="6"/>
      <c r="G32" s="14"/>
      <c r="H32" s="14"/>
      <c r="I32" s="14"/>
      <c r="J32" s="14"/>
      <c r="K32" s="14"/>
      <c r="L32" s="14"/>
      <c r="M32" s="14"/>
      <c r="N32" s="14"/>
      <c r="O32" s="14"/>
    </row>
    <row r="33" spans="1:18">
      <c r="A33" s="6"/>
      <c r="C33" s="2"/>
    </row>
    <row r="34" spans="1:18">
      <c r="A34" s="19" t="s">
        <v>28</v>
      </c>
      <c r="C34" s="2"/>
    </row>
    <row r="35" spans="1:18">
      <c r="A35" s="6"/>
      <c r="C35" s="2"/>
    </row>
    <row r="36" spans="1:18">
      <c r="A36" s="6"/>
      <c r="C36" s="2"/>
      <c r="J36" s="30" t="s">
        <v>35</v>
      </c>
      <c r="K36" s="31"/>
      <c r="L36" s="1"/>
      <c r="O36" s="26" t="s">
        <v>20</v>
      </c>
      <c r="P36" s="26" t="s">
        <v>20</v>
      </c>
    </row>
    <row r="37" spans="1:18">
      <c r="A37" s="6"/>
      <c r="C37" s="2"/>
      <c r="J37" s="33" t="s">
        <v>48</v>
      </c>
      <c r="K37" s="34"/>
      <c r="L37" s="32" t="s">
        <v>49</v>
      </c>
      <c r="M37" s="32"/>
      <c r="N37" s="32"/>
      <c r="O37" s="26" t="s">
        <v>22</v>
      </c>
      <c r="P37" s="26" t="s">
        <v>22</v>
      </c>
      <c r="Q37" s="22" t="s">
        <v>34</v>
      </c>
      <c r="R37" s="20" t="s">
        <v>20</v>
      </c>
    </row>
    <row r="38" spans="1:18">
      <c r="H38" s="32" t="s">
        <v>38</v>
      </c>
      <c r="I38" s="32"/>
      <c r="J38" s="20" t="s">
        <v>19</v>
      </c>
      <c r="K38" s="20" t="s">
        <v>25</v>
      </c>
      <c r="L38" s="22" t="s">
        <v>31</v>
      </c>
      <c r="M38" s="30" t="s">
        <v>32</v>
      </c>
      <c r="N38" s="31"/>
      <c r="O38" s="20" t="s">
        <v>44</v>
      </c>
      <c r="P38" s="20" t="s">
        <v>32</v>
      </c>
      <c r="Q38" s="27" t="s">
        <v>46</v>
      </c>
      <c r="R38" s="20" t="s">
        <v>22</v>
      </c>
    </row>
    <row r="39" spans="1:18" ht="18">
      <c r="A39" s="12" t="s">
        <v>3</v>
      </c>
      <c r="B39" s="12" t="s">
        <v>1</v>
      </c>
      <c r="C39" s="12" t="s">
        <v>11</v>
      </c>
      <c r="D39" s="12" t="s">
        <v>16</v>
      </c>
      <c r="E39" s="12" t="s">
        <v>45</v>
      </c>
      <c r="F39" s="12" t="s">
        <v>17</v>
      </c>
      <c r="G39" s="12" t="s">
        <v>18</v>
      </c>
      <c r="H39" s="24" t="s">
        <v>36</v>
      </c>
      <c r="I39" s="18" t="s">
        <v>37</v>
      </c>
      <c r="J39" s="13" t="s">
        <v>4</v>
      </c>
      <c r="K39" s="13" t="s">
        <v>4</v>
      </c>
      <c r="L39" s="13" t="s">
        <v>24</v>
      </c>
      <c r="M39" s="13" t="s">
        <v>29</v>
      </c>
      <c r="N39" s="13" t="s">
        <v>30</v>
      </c>
      <c r="O39" s="13" t="s">
        <v>41</v>
      </c>
      <c r="P39" s="13" t="s">
        <v>41</v>
      </c>
      <c r="Q39" s="27" t="s">
        <v>47</v>
      </c>
      <c r="R39" s="13" t="s">
        <v>41</v>
      </c>
    </row>
    <row r="40" spans="1:18">
      <c r="A40" s="28">
        <v>0.1</v>
      </c>
      <c r="B40" s="15">
        <f>$B$10/A40</f>
        <v>10</v>
      </c>
      <c r="C40" s="4">
        <f>$B$9/A40</f>
        <v>10</v>
      </c>
      <c r="D40" s="3">
        <f>2*C40*B40*SQRT(B40^2+C40^2+1)*(B40^2+C40^2+2)/((C40^2+B40^2+B40^2*C40^2+1)*(C40^2+B40^2+1))</f>
        <v>0.27934479835984094</v>
      </c>
      <c r="E40" s="16">
        <f>((2*B40*C40*SQRT(B40^2+C40^2+1)/(B40^2+C40^2-C40^2 *B40^2+1)))</f>
        <v>-0.28936517764583786</v>
      </c>
      <c r="F40" s="4">
        <f>IF(E40&lt;0,ATAN(E40)+PI(),ATAN(E40))</f>
        <v>2.8599209064569586</v>
      </c>
      <c r="G40" s="4">
        <f>(D40+F40)/(4*PI())</f>
        <v>0.24981482730022822</v>
      </c>
      <c r="H40" s="4">
        <v>15</v>
      </c>
      <c r="I40" s="4">
        <f>A40*B40</f>
        <v>1</v>
      </c>
      <c r="J40" s="4">
        <f>G40*$B$14</f>
        <v>64.95185509805934</v>
      </c>
      <c r="K40" s="4">
        <f t="shared" ref="K40:K71" si="0">4*J40</f>
        <v>259.80742039223736</v>
      </c>
      <c r="L40" s="4">
        <v>23000</v>
      </c>
      <c r="M40" s="11">
        <v>4.4999999999999998E-2</v>
      </c>
      <c r="N40" s="11">
        <v>0.25</v>
      </c>
      <c r="O40" s="3">
        <f t="shared" ref="O40:O71" si="1">100*$B$12*K40/L40</f>
        <v>0.11295974799662495</v>
      </c>
      <c r="P40" s="3">
        <f t="shared" ref="P40:P71" si="2">(M40/(1+N40))*$B$12*LOG10((I40+K40)/K40)*100</f>
        <v>6.006213942317916E-4</v>
      </c>
      <c r="Q40" s="11">
        <v>1</v>
      </c>
      <c r="R40" s="3">
        <f>IF(Q40=1,O40,P40)</f>
        <v>0.11295974799662495</v>
      </c>
    </row>
    <row r="41" spans="1:18">
      <c r="A41" s="28">
        <f>A40+$B$12</f>
        <v>0.2</v>
      </c>
      <c r="B41" s="15">
        <f t="shared" ref="B41:B76" si="3">$B$10/A41</f>
        <v>5</v>
      </c>
      <c r="C41" s="4">
        <f t="shared" ref="C41:C76" si="4">$B$9/A41</f>
        <v>5</v>
      </c>
      <c r="D41" s="3">
        <f t="shared" ref="D41:D76" si="5">2*C41*B41*SQRT(B41^2+C41^2+1)*(B41^2+C41^2+2)/((C41^2+B41^2+B41^2*C41^2+1)*(C41^2+B41^2+1))</f>
        <v>0.53856926308769604</v>
      </c>
      <c r="E41" s="16">
        <f t="shared" ref="E41:E76" si="6">((2*B41*C41*SQRT(B41^2+C41^2+1)/(B41^2+C41^2-C41^2 *B41^2+1)))</f>
        <v>-0.62207564708561414</v>
      </c>
      <c r="F41" s="4">
        <f t="shared" ref="F41:F76" si="7">IF(E41&lt;0,ATAN(E41)+PI(),ATAN(E41))</f>
        <v>2.5850990081201988</v>
      </c>
      <c r="G41" s="4">
        <f t="shared" ref="G41:G76" si="8">(D41+F41)/(4*PI())</f>
        <v>0.24857362297102578</v>
      </c>
      <c r="H41" s="4">
        <v>15</v>
      </c>
      <c r="I41" s="4">
        <f>I40+(A41-A40)*H41</f>
        <v>2.5</v>
      </c>
      <c r="J41" s="4">
        <f t="shared" ref="J41:J76" si="9">G41*$B$14</f>
        <v>64.629141972466698</v>
      </c>
      <c r="K41" s="4">
        <f t="shared" si="0"/>
        <v>258.51656788986679</v>
      </c>
      <c r="L41" s="4">
        <v>23000</v>
      </c>
      <c r="M41" s="11">
        <v>4.4999999999999998E-2</v>
      </c>
      <c r="N41" s="11">
        <v>0.25</v>
      </c>
      <c r="O41" s="3">
        <f t="shared" si="1"/>
        <v>0.11239850777820296</v>
      </c>
      <c r="P41" s="3">
        <f t="shared" si="2"/>
        <v>1.5046895904164538E-3</v>
      </c>
      <c r="Q41" s="11">
        <v>1</v>
      </c>
      <c r="R41" s="3">
        <f t="shared" ref="R41:R104" si="10">IF(Q41=1,O41,P41)</f>
        <v>0.11239850777820296</v>
      </c>
    </row>
    <row r="42" spans="1:18">
      <c r="A42" s="28">
        <f t="shared" ref="A42:A104" si="11">A41+$B$12</f>
        <v>0.30000000000000004</v>
      </c>
      <c r="B42" s="15">
        <f t="shared" si="3"/>
        <v>3.333333333333333</v>
      </c>
      <c r="C42" s="4">
        <f t="shared" si="4"/>
        <v>3.333333333333333</v>
      </c>
      <c r="D42" s="3">
        <f t="shared" si="5"/>
        <v>0.76152051067824744</v>
      </c>
      <c r="E42" s="16">
        <f t="shared" si="6"/>
        <v>-1.0683704122281781</v>
      </c>
      <c r="F42" s="4">
        <f t="shared" si="7"/>
        <v>2.3231513144788307</v>
      </c>
      <c r="G42" s="4">
        <f t="shared" si="8"/>
        <v>0.24547038439502383</v>
      </c>
      <c r="H42" s="4">
        <v>15</v>
      </c>
      <c r="I42" s="4">
        <f t="shared" ref="I42:I76" si="12">I41+(A42-A41)*H42</f>
        <v>4</v>
      </c>
      <c r="J42" s="4">
        <f t="shared" si="9"/>
        <v>63.822299942706195</v>
      </c>
      <c r="K42" s="4">
        <f t="shared" si="0"/>
        <v>255.28919977082478</v>
      </c>
      <c r="L42" s="4">
        <v>23000</v>
      </c>
      <c r="M42" s="11">
        <v>4.4999999999999998E-2</v>
      </c>
      <c r="N42" s="11">
        <v>0.25</v>
      </c>
      <c r="O42" s="3">
        <f t="shared" si="1"/>
        <v>0.11099530424818468</v>
      </c>
      <c r="P42" s="3">
        <f t="shared" si="2"/>
        <v>2.4307147413803886E-3</v>
      </c>
      <c r="Q42" s="11">
        <v>1</v>
      </c>
      <c r="R42" s="3">
        <f t="shared" si="10"/>
        <v>0.11099530424818468</v>
      </c>
    </row>
    <row r="43" spans="1:18">
      <c r="A43" s="28">
        <f t="shared" si="11"/>
        <v>0.4</v>
      </c>
      <c r="B43" s="15">
        <f t="shared" si="3"/>
        <v>2.5</v>
      </c>
      <c r="C43" s="4">
        <f t="shared" si="4"/>
        <v>2.5</v>
      </c>
      <c r="D43" s="3">
        <f t="shared" si="5"/>
        <v>0.93850181715830594</v>
      </c>
      <c r="E43" s="16">
        <f t="shared" si="6"/>
        <v>-1.7966917428727469</v>
      </c>
      <c r="F43" s="4">
        <f t="shared" si="7"/>
        <v>2.0786761777120915</v>
      </c>
      <c r="G43" s="4">
        <f t="shared" si="8"/>
        <v>0.2400993960358585</v>
      </c>
      <c r="H43" s="4">
        <v>15</v>
      </c>
      <c r="I43" s="4">
        <f t="shared" si="12"/>
        <v>5.5</v>
      </c>
      <c r="J43" s="4">
        <f t="shared" si="9"/>
        <v>62.425842969323213</v>
      </c>
      <c r="K43" s="4">
        <f t="shared" si="0"/>
        <v>249.70337187729285</v>
      </c>
      <c r="L43" s="4">
        <v>23000</v>
      </c>
      <c r="M43" s="11">
        <v>4.4999999999999998E-2</v>
      </c>
      <c r="N43" s="11">
        <v>0.25</v>
      </c>
      <c r="O43" s="3">
        <f t="shared" si="1"/>
        <v>0.10856668342490992</v>
      </c>
      <c r="P43" s="3">
        <f t="shared" si="2"/>
        <v>3.4063204706912854E-3</v>
      </c>
      <c r="Q43" s="11">
        <v>1</v>
      </c>
      <c r="R43" s="3">
        <f t="shared" si="10"/>
        <v>0.10856668342490992</v>
      </c>
    </row>
    <row r="44" spans="1:18">
      <c r="A44" s="28">
        <f t="shared" si="11"/>
        <v>0.5</v>
      </c>
      <c r="B44" s="15">
        <f t="shared" si="3"/>
        <v>2</v>
      </c>
      <c r="C44" s="4">
        <f t="shared" si="4"/>
        <v>2</v>
      </c>
      <c r="D44" s="3">
        <f t="shared" si="5"/>
        <v>1.0666666666666667</v>
      </c>
      <c r="E44" s="16">
        <f t="shared" si="6"/>
        <v>-3.4285714285714284</v>
      </c>
      <c r="F44" s="4">
        <f t="shared" si="7"/>
        <v>1.8545904360032244</v>
      </c>
      <c r="G44" s="4">
        <f t="shared" si="8"/>
        <v>0.23246625396611079</v>
      </c>
      <c r="H44" s="4">
        <v>15</v>
      </c>
      <c r="I44" s="4">
        <f t="shared" si="12"/>
        <v>7</v>
      </c>
      <c r="J44" s="4">
        <f t="shared" si="9"/>
        <v>60.441226031188805</v>
      </c>
      <c r="K44" s="4">
        <f t="shared" si="0"/>
        <v>241.76490412475522</v>
      </c>
      <c r="L44" s="4">
        <v>23000</v>
      </c>
      <c r="M44" s="11">
        <v>4.4999999999999998E-2</v>
      </c>
      <c r="N44" s="11">
        <v>0.25</v>
      </c>
      <c r="O44" s="3">
        <f t="shared" si="1"/>
        <v>0.10511517570641532</v>
      </c>
      <c r="P44" s="3">
        <f t="shared" si="2"/>
        <v>4.4625071700569634E-3</v>
      </c>
      <c r="Q44" s="11">
        <v>1</v>
      </c>
      <c r="R44" s="3">
        <f t="shared" si="10"/>
        <v>0.10511517570641532</v>
      </c>
    </row>
    <row r="45" spans="1:18">
      <c r="A45" s="28">
        <f t="shared" si="11"/>
        <v>0.6</v>
      </c>
      <c r="B45" s="15">
        <f t="shared" si="3"/>
        <v>1.6666666666666667</v>
      </c>
      <c r="C45" s="4">
        <f t="shared" si="4"/>
        <v>1.6666666666666667</v>
      </c>
      <c r="D45" s="3">
        <f t="shared" si="5"/>
        <v>1.1487256851249164</v>
      </c>
      <c r="E45" s="16">
        <f t="shared" si="6"/>
        <v>-12.257147470003083</v>
      </c>
      <c r="F45" s="4">
        <f t="shared" si="7"/>
        <v>1.6522010838541537</v>
      </c>
      <c r="G45" s="4">
        <f t="shared" si="8"/>
        <v>0.2228906702607151</v>
      </c>
      <c r="H45" s="4">
        <v>15</v>
      </c>
      <c r="I45" s="4">
        <f t="shared" si="12"/>
        <v>8.5</v>
      </c>
      <c r="J45" s="4">
        <f t="shared" si="9"/>
        <v>57.951574267785929</v>
      </c>
      <c r="K45" s="4">
        <f t="shared" si="0"/>
        <v>231.80629707114372</v>
      </c>
      <c r="L45" s="4">
        <v>23000</v>
      </c>
      <c r="M45" s="11">
        <v>4.4999999999999998E-2</v>
      </c>
      <c r="N45" s="11">
        <v>0.25</v>
      </c>
      <c r="O45" s="3">
        <f t="shared" si="1"/>
        <v>0.10078534655267118</v>
      </c>
      <c r="P45" s="3">
        <f t="shared" si="2"/>
        <v>5.6303718704048631E-3</v>
      </c>
      <c r="Q45" s="11">
        <v>1</v>
      </c>
      <c r="R45" s="3">
        <f t="shared" si="10"/>
        <v>0.10078534655267118</v>
      </c>
    </row>
    <row r="46" spans="1:18">
      <c r="A46" s="28">
        <f t="shared" si="11"/>
        <v>0.7</v>
      </c>
      <c r="B46" s="15">
        <f t="shared" si="3"/>
        <v>1.4285714285714286</v>
      </c>
      <c r="C46" s="4">
        <f t="shared" si="4"/>
        <v>1.4285714285714286</v>
      </c>
      <c r="D46" s="3">
        <f t="shared" si="5"/>
        <v>1.1908912090392874</v>
      </c>
      <c r="E46" s="16">
        <f t="shared" si="6"/>
        <v>10.037086493995142</v>
      </c>
      <c r="F46" s="4">
        <f t="shared" si="7"/>
        <v>1.4714935239229767</v>
      </c>
      <c r="G46" s="4">
        <f t="shared" si="8"/>
        <v>0.21186584533167005</v>
      </c>
      <c r="H46" s="4">
        <v>15</v>
      </c>
      <c r="I46" s="4">
        <f t="shared" si="12"/>
        <v>10</v>
      </c>
      <c r="J46" s="4">
        <f t="shared" si="9"/>
        <v>55.085119786234216</v>
      </c>
      <c r="K46" s="4">
        <f t="shared" si="0"/>
        <v>220.34047914493686</v>
      </c>
      <c r="L46" s="4">
        <v>23000</v>
      </c>
      <c r="M46" s="11">
        <v>4.4999999999999998E-2</v>
      </c>
      <c r="N46" s="11">
        <v>0.25</v>
      </c>
      <c r="O46" s="3">
        <f t="shared" si="1"/>
        <v>9.5800208323885583E-2</v>
      </c>
      <c r="P46" s="3">
        <f t="shared" si="2"/>
        <v>6.9393515056414227E-3</v>
      </c>
      <c r="Q46" s="11">
        <v>1</v>
      </c>
      <c r="R46" s="3">
        <f t="shared" si="10"/>
        <v>9.5800208323885583E-2</v>
      </c>
    </row>
    <row r="47" spans="1:18">
      <c r="A47" s="28">
        <f t="shared" si="11"/>
        <v>0.79999999999999993</v>
      </c>
      <c r="B47" s="15">
        <f t="shared" si="3"/>
        <v>1.25</v>
      </c>
      <c r="C47" s="4">
        <f t="shared" si="4"/>
        <v>1.25</v>
      </c>
      <c r="D47" s="3">
        <f t="shared" si="5"/>
        <v>1.2008925949203193</v>
      </c>
      <c r="E47" s="16">
        <f t="shared" si="6"/>
        <v>3.7698554081837408</v>
      </c>
      <c r="F47" s="4">
        <f t="shared" si="7"/>
        <v>1.3115056515155326</v>
      </c>
      <c r="G47" s="4">
        <f t="shared" si="8"/>
        <v>0.19993029996783782</v>
      </c>
      <c r="H47" s="4">
        <v>15</v>
      </c>
      <c r="I47" s="4">
        <f t="shared" si="12"/>
        <v>11.5</v>
      </c>
      <c r="J47" s="4">
        <f t="shared" si="9"/>
        <v>51.98187799163783</v>
      </c>
      <c r="K47" s="4">
        <f t="shared" si="0"/>
        <v>207.92751196655132</v>
      </c>
      <c r="L47" s="4">
        <v>23000</v>
      </c>
      <c r="M47" s="11">
        <v>4.4999999999999998E-2</v>
      </c>
      <c r="N47" s="11">
        <v>0.25</v>
      </c>
      <c r="O47" s="3">
        <f t="shared" si="1"/>
        <v>9.0403266072413613E-2</v>
      </c>
      <c r="P47" s="3">
        <f t="shared" si="2"/>
        <v>8.416483882243999E-3</v>
      </c>
      <c r="Q47" s="11">
        <v>1</v>
      </c>
      <c r="R47" s="3">
        <f t="shared" si="10"/>
        <v>9.0403266072413613E-2</v>
      </c>
    </row>
    <row r="48" spans="1:18">
      <c r="A48" s="28">
        <f t="shared" si="11"/>
        <v>0.89999999999999991</v>
      </c>
      <c r="B48" s="15">
        <f t="shared" si="3"/>
        <v>1.1111111111111112</v>
      </c>
      <c r="C48" s="4">
        <f t="shared" si="4"/>
        <v>1.1111111111111112</v>
      </c>
      <c r="D48" s="3">
        <f t="shared" si="5"/>
        <v>1.1865082599882966</v>
      </c>
      <c r="E48" s="16">
        <f t="shared" si="6"/>
        <v>2.3645089182377856</v>
      </c>
      <c r="F48" s="4">
        <f t="shared" si="7"/>
        <v>1.1706880989433199</v>
      </c>
      <c r="G48" s="4">
        <f t="shared" si="8"/>
        <v>0.18757972618109217</v>
      </c>
      <c r="H48" s="4">
        <v>15</v>
      </c>
      <c r="I48" s="4">
        <f t="shared" si="12"/>
        <v>13</v>
      </c>
      <c r="J48" s="4">
        <f t="shared" si="9"/>
        <v>48.770728807083962</v>
      </c>
      <c r="K48" s="4">
        <f t="shared" si="0"/>
        <v>195.08291522833585</v>
      </c>
      <c r="L48" s="4">
        <v>23000</v>
      </c>
      <c r="M48" s="11">
        <v>4.4999999999999998E-2</v>
      </c>
      <c r="N48" s="11">
        <v>0.25</v>
      </c>
      <c r="O48" s="3">
        <f t="shared" si="1"/>
        <v>8.4818658794928628E-2</v>
      </c>
      <c r="P48" s="3">
        <f t="shared" si="2"/>
        <v>1.0086187250025372E-2</v>
      </c>
      <c r="Q48" s="11">
        <v>1</v>
      </c>
      <c r="R48" s="3">
        <f t="shared" si="10"/>
        <v>8.4818658794928628E-2</v>
      </c>
    </row>
    <row r="49" spans="1:18">
      <c r="A49" s="28">
        <f t="shared" si="11"/>
        <v>0.99999999999999989</v>
      </c>
      <c r="B49" s="15">
        <f t="shared" si="3"/>
        <v>1.0000000000000002</v>
      </c>
      <c r="C49" s="4">
        <f t="shared" si="4"/>
        <v>1.0000000000000002</v>
      </c>
      <c r="D49" s="3">
        <f t="shared" si="5"/>
        <v>1.1547005383792517</v>
      </c>
      <c r="E49" s="16">
        <f t="shared" si="6"/>
        <v>1.7320508075688783</v>
      </c>
      <c r="F49" s="4">
        <f t="shared" si="7"/>
        <v>1.0471975511965981</v>
      </c>
      <c r="G49" s="4">
        <f t="shared" si="8"/>
        <v>0.17522148257029871</v>
      </c>
      <c r="H49" s="4">
        <v>15</v>
      </c>
      <c r="I49" s="4">
        <f t="shared" si="12"/>
        <v>14.5</v>
      </c>
      <c r="J49" s="4">
        <f t="shared" si="9"/>
        <v>45.557585468277665</v>
      </c>
      <c r="K49" s="4">
        <f t="shared" si="0"/>
        <v>182.23034187311066</v>
      </c>
      <c r="L49" s="4">
        <v>23000</v>
      </c>
      <c r="M49" s="11">
        <v>4.4999999999999998E-2</v>
      </c>
      <c r="N49" s="11">
        <v>0.25</v>
      </c>
      <c r="O49" s="3">
        <f t="shared" si="1"/>
        <v>7.9230583423091597E-2</v>
      </c>
      <c r="P49" s="3">
        <f t="shared" si="2"/>
        <v>1.1970236422343237E-2</v>
      </c>
      <c r="Q49" s="11">
        <v>1</v>
      </c>
      <c r="R49" s="3">
        <f t="shared" si="10"/>
        <v>7.9230583423091597E-2</v>
      </c>
    </row>
    <row r="50" spans="1:18">
      <c r="A50" s="29">
        <f t="shared" si="11"/>
        <v>1.0999999999999999</v>
      </c>
      <c r="B50" s="15">
        <f t="shared" si="3"/>
        <v>0.90909090909090917</v>
      </c>
      <c r="C50" s="4">
        <f t="shared" si="4"/>
        <v>0.90909090909090917</v>
      </c>
      <c r="D50" s="3">
        <f t="shared" si="5"/>
        <v>1.111240053220891</v>
      </c>
      <c r="E50" s="16">
        <f t="shared" si="6"/>
        <v>1.3666738430627101</v>
      </c>
      <c r="F50" s="4">
        <f t="shared" si="7"/>
        <v>0.93910819487140595</v>
      </c>
      <c r="G50" s="4">
        <f t="shared" si="8"/>
        <v>0.16316152937184841</v>
      </c>
      <c r="H50" s="4">
        <v>15</v>
      </c>
      <c r="I50" s="4">
        <f t="shared" si="12"/>
        <v>16</v>
      </c>
      <c r="J50" s="4">
        <f t="shared" si="9"/>
        <v>42.421997636680587</v>
      </c>
      <c r="K50" s="4">
        <f t="shared" si="0"/>
        <v>169.68799054672235</v>
      </c>
      <c r="L50" s="4">
        <v>53000</v>
      </c>
      <c r="M50" s="11">
        <v>4.4999999999999998E-2</v>
      </c>
      <c r="N50" s="11">
        <v>0.25</v>
      </c>
      <c r="O50" s="3">
        <f t="shared" si="1"/>
        <v>3.2016601989947616E-2</v>
      </c>
      <c r="P50" s="3">
        <f t="shared" si="2"/>
        <v>1.4087775491211079E-2</v>
      </c>
      <c r="Q50" s="11">
        <v>1</v>
      </c>
      <c r="R50" s="3">
        <f t="shared" si="10"/>
        <v>3.2016601989947616E-2</v>
      </c>
    </row>
    <row r="51" spans="1:18">
      <c r="A51" s="29">
        <f t="shared" si="11"/>
        <v>1.2</v>
      </c>
      <c r="B51" s="15">
        <f t="shared" si="3"/>
        <v>0.83333333333333337</v>
      </c>
      <c r="C51" s="4">
        <f t="shared" si="4"/>
        <v>0.83333333333333337</v>
      </c>
      <c r="D51" s="3">
        <f t="shared" si="5"/>
        <v>1.0606502282305417</v>
      </c>
      <c r="E51" s="16">
        <f t="shared" si="6"/>
        <v>1.1258945967821576</v>
      </c>
      <c r="F51" s="4">
        <f t="shared" si="7"/>
        <v>0.84454866728068156</v>
      </c>
      <c r="G51" s="4">
        <f t="shared" si="8"/>
        <v>0.15161091089691531</v>
      </c>
      <c r="H51" s="4">
        <v>15</v>
      </c>
      <c r="I51" s="4">
        <f t="shared" si="12"/>
        <v>17.5</v>
      </c>
      <c r="J51" s="4">
        <f t="shared" si="9"/>
        <v>39.418836833197979</v>
      </c>
      <c r="K51" s="4">
        <f t="shared" si="0"/>
        <v>157.67534733279192</v>
      </c>
      <c r="L51" s="4">
        <v>53000</v>
      </c>
      <c r="M51" s="11">
        <v>4.4999999999999998E-2</v>
      </c>
      <c r="N51" s="11">
        <v>0.25</v>
      </c>
      <c r="O51" s="3">
        <f t="shared" si="1"/>
        <v>2.9750065534489042E-2</v>
      </c>
      <c r="P51" s="3">
        <f t="shared" si="2"/>
        <v>1.6455308734045444E-2</v>
      </c>
      <c r="Q51" s="11">
        <v>1</v>
      </c>
      <c r="R51" s="3">
        <f t="shared" si="10"/>
        <v>2.9750065534489042E-2</v>
      </c>
    </row>
    <row r="52" spans="1:18">
      <c r="A52" s="29">
        <f t="shared" si="11"/>
        <v>1.3</v>
      </c>
      <c r="B52" s="15">
        <f t="shared" si="3"/>
        <v>0.76923076923076916</v>
      </c>
      <c r="C52" s="4">
        <f t="shared" si="4"/>
        <v>0.76923076923076916</v>
      </c>
      <c r="D52" s="3">
        <f t="shared" si="5"/>
        <v>1.006324116258676</v>
      </c>
      <c r="E52" s="16">
        <f t="shared" si="6"/>
        <v>0.95384673806795539</v>
      </c>
      <c r="F52" s="4">
        <f t="shared" si="7"/>
        <v>0.76178081429612787</v>
      </c>
      <c r="G52" s="4">
        <f t="shared" si="8"/>
        <v>0.14070131980147471</v>
      </c>
      <c r="H52" s="4">
        <v>15</v>
      </c>
      <c r="I52" s="4">
        <f t="shared" si="12"/>
        <v>19</v>
      </c>
      <c r="J52" s="4">
        <f t="shared" si="9"/>
        <v>36.582343148383423</v>
      </c>
      <c r="K52" s="4">
        <f t="shared" si="0"/>
        <v>146.32937259353369</v>
      </c>
      <c r="L52" s="4">
        <v>53000</v>
      </c>
      <c r="M52" s="11">
        <v>4.4999999999999998E-2</v>
      </c>
      <c r="N52" s="11">
        <v>0.25</v>
      </c>
      <c r="O52" s="3">
        <f t="shared" si="1"/>
        <v>2.7609315583685602E-2</v>
      </c>
      <c r="P52" s="3">
        <f t="shared" si="2"/>
        <v>1.9086662571532804E-2</v>
      </c>
      <c r="Q52" s="11">
        <v>1</v>
      </c>
      <c r="R52" s="3">
        <f t="shared" si="10"/>
        <v>2.7609315583685602E-2</v>
      </c>
    </row>
    <row r="53" spans="1:18">
      <c r="A53" s="29">
        <f t="shared" si="11"/>
        <v>1.4000000000000001</v>
      </c>
      <c r="B53" s="15">
        <f t="shared" si="3"/>
        <v>0.71428571428571419</v>
      </c>
      <c r="C53" s="4">
        <f t="shared" si="4"/>
        <v>0.71428571428571419</v>
      </c>
      <c r="D53" s="3">
        <f t="shared" si="5"/>
        <v>0.95071144686682219</v>
      </c>
      <c r="E53" s="16">
        <f t="shared" si="6"/>
        <v>0.82405490531783476</v>
      </c>
      <c r="F53" s="4">
        <f t="shared" si="7"/>
        <v>0.68923743662665893</v>
      </c>
      <c r="G53" s="4">
        <f t="shared" si="8"/>
        <v>0.13050298561301113</v>
      </c>
      <c r="H53" s="4">
        <v>15</v>
      </c>
      <c r="I53" s="4">
        <f t="shared" si="12"/>
        <v>20.5</v>
      </c>
      <c r="J53" s="4">
        <f t="shared" si="9"/>
        <v>33.930776259382895</v>
      </c>
      <c r="K53" s="4">
        <f t="shared" si="0"/>
        <v>135.72310503753158</v>
      </c>
      <c r="L53" s="4">
        <v>53000</v>
      </c>
      <c r="M53" s="11">
        <v>4.4999999999999998E-2</v>
      </c>
      <c r="N53" s="11">
        <v>0.25</v>
      </c>
      <c r="O53" s="3">
        <f t="shared" si="1"/>
        <v>2.5608133025949355E-2</v>
      </c>
      <c r="P53" s="3">
        <f t="shared" si="2"/>
        <v>2.1992932326136874E-2</v>
      </c>
      <c r="Q53" s="11">
        <v>1</v>
      </c>
      <c r="R53" s="3">
        <f t="shared" si="10"/>
        <v>2.5608133025949355E-2</v>
      </c>
    </row>
    <row r="54" spans="1:18">
      <c r="A54" s="29">
        <f t="shared" si="11"/>
        <v>1.5000000000000002</v>
      </c>
      <c r="B54" s="15">
        <f t="shared" si="3"/>
        <v>0.66666666666666652</v>
      </c>
      <c r="C54" s="4">
        <f t="shared" si="4"/>
        <v>0.66666666666666652</v>
      </c>
      <c r="D54" s="3">
        <f t="shared" si="5"/>
        <v>0.89551615398030626</v>
      </c>
      <c r="E54" s="16">
        <f t="shared" si="6"/>
        <v>0.72229587602061174</v>
      </c>
      <c r="F54" s="4">
        <f t="shared" si="7"/>
        <v>0.62553344388308973</v>
      </c>
      <c r="G54" s="4">
        <f t="shared" si="8"/>
        <v>0.12104128109394954</v>
      </c>
      <c r="H54" s="4">
        <v>15</v>
      </c>
      <c r="I54" s="4">
        <f t="shared" si="12"/>
        <v>22</v>
      </c>
      <c r="J54" s="4">
        <f t="shared" si="9"/>
        <v>31.470733084426882</v>
      </c>
      <c r="K54" s="4">
        <f t="shared" si="0"/>
        <v>125.88293233770753</v>
      </c>
      <c r="L54" s="4">
        <v>53000</v>
      </c>
      <c r="M54" s="11">
        <v>4.4999999999999998E-2</v>
      </c>
      <c r="N54" s="11">
        <v>0.25</v>
      </c>
      <c r="O54" s="3">
        <f t="shared" si="1"/>
        <v>2.3751496667491986E-2</v>
      </c>
      <c r="P54" s="3">
        <f t="shared" si="2"/>
        <v>2.5182432946409733E-2</v>
      </c>
      <c r="Q54" s="11">
        <v>1</v>
      </c>
      <c r="R54" s="3">
        <f t="shared" si="10"/>
        <v>2.3751496667491986E-2</v>
      </c>
    </row>
    <row r="55" spans="1:18">
      <c r="A55" s="29">
        <f t="shared" si="11"/>
        <v>1.6000000000000003</v>
      </c>
      <c r="B55" s="15">
        <f t="shared" si="3"/>
        <v>0.62499999999999989</v>
      </c>
      <c r="C55" s="4">
        <f t="shared" si="4"/>
        <v>0.62499999999999989</v>
      </c>
      <c r="D55" s="3">
        <f t="shared" si="5"/>
        <v>0.841874886815006</v>
      </c>
      <c r="E55" s="16">
        <f t="shared" si="6"/>
        <v>0.64020855955816569</v>
      </c>
      <c r="F55" s="4">
        <f t="shared" si="7"/>
        <v>0.56946113364432815</v>
      </c>
      <c r="G55" s="4">
        <f t="shared" si="8"/>
        <v>0.11231055200987368</v>
      </c>
      <c r="H55" s="4">
        <v>15</v>
      </c>
      <c r="I55" s="4">
        <f t="shared" si="12"/>
        <v>23.5</v>
      </c>
      <c r="J55" s="4">
        <f t="shared" si="9"/>
        <v>29.200743522567155</v>
      </c>
      <c r="K55" s="4">
        <f t="shared" si="0"/>
        <v>116.80297409026862</v>
      </c>
      <c r="L55" s="4">
        <v>53000</v>
      </c>
      <c r="M55" s="11">
        <v>4.4999999999999998E-2</v>
      </c>
      <c r="N55" s="11">
        <v>0.25</v>
      </c>
      <c r="O55" s="3">
        <f t="shared" si="1"/>
        <v>2.2038296998163891E-2</v>
      </c>
      <c r="P55" s="3">
        <f t="shared" si="2"/>
        <v>2.8660671366746503E-2</v>
      </c>
      <c r="Q55" s="11">
        <v>1</v>
      </c>
      <c r="R55" s="3">
        <f t="shared" si="10"/>
        <v>2.2038296998163891E-2</v>
      </c>
    </row>
    <row r="56" spans="1:18">
      <c r="A56" s="29">
        <f t="shared" si="11"/>
        <v>1.7000000000000004</v>
      </c>
      <c r="B56" s="15">
        <f t="shared" si="3"/>
        <v>0.58823529411764697</v>
      </c>
      <c r="C56" s="4">
        <f t="shared" si="4"/>
        <v>0.58823529411764697</v>
      </c>
      <c r="D56" s="3">
        <f t="shared" si="5"/>
        <v>0.79050547434285723</v>
      </c>
      <c r="E56" s="16">
        <f t="shared" si="6"/>
        <v>0.57253120915532407</v>
      </c>
      <c r="F56" s="4">
        <f t="shared" si="7"/>
        <v>0.51997693863769834</v>
      </c>
      <c r="G56" s="4">
        <f t="shared" si="8"/>
        <v>0.104284876930425</v>
      </c>
      <c r="H56" s="4">
        <v>15</v>
      </c>
      <c r="I56" s="4">
        <f t="shared" si="12"/>
        <v>25</v>
      </c>
      <c r="J56" s="4">
        <f t="shared" si="9"/>
        <v>27.1140680019105</v>
      </c>
      <c r="K56" s="4">
        <f t="shared" si="0"/>
        <v>108.456272007642</v>
      </c>
      <c r="L56" s="4">
        <v>53000</v>
      </c>
      <c r="M56" s="11">
        <v>4.4999999999999998E-2</v>
      </c>
      <c r="N56" s="11">
        <v>0.25</v>
      </c>
      <c r="O56" s="3">
        <f t="shared" si="1"/>
        <v>2.0463447548611697E-2</v>
      </c>
      <c r="P56" s="3">
        <f t="shared" si="2"/>
        <v>3.243035403693776E-2</v>
      </c>
      <c r="Q56" s="11">
        <v>1</v>
      </c>
      <c r="R56" s="3">
        <f t="shared" si="10"/>
        <v>2.0463447548611697E-2</v>
      </c>
    </row>
    <row r="57" spans="1:18">
      <c r="A57" s="29">
        <f t="shared" si="11"/>
        <v>1.8000000000000005</v>
      </c>
      <c r="B57" s="15">
        <f t="shared" si="3"/>
        <v>0.55555555555555536</v>
      </c>
      <c r="C57" s="4">
        <f t="shared" si="4"/>
        <v>0.55555555555555536</v>
      </c>
      <c r="D57" s="3">
        <f t="shared" si="5"/>
        <v>0.7418241990518244</v>
      </c>
      <c r="E57" s="16">
        <f t="shared" si="6"/>
        <v>0.5157706202700596</v>
      </c>
      <c r="F57" s="4">
        <f t="shared" si="7"/>
        <v>0.47618435929988184</v>
      </c>
      <c r="G57" s="4">
        <f t="shared" si="8"/>
        <v>9.6926041394953644E-2</v>
      </c>
      <c r="H57" s="4">
        <v>15</v>
      </c>
      <c r="I57" s="4">
        <f t="shared" si="12"/>
        <v>26.5</v>
      </c>
      <c r="J57" s="4">
        <f t="shared" si="9"/>
        <v>25.200770762687949</v>
      </c>
      <c r="K57" s="4">
        <f t="shared" si="0"/>
        <v>100.80308305075179</v>
      </c>
      <c r="L57" s="4">
        <v>53000</v>
      </c>
      <c r="M57" s="11">
        <v>4.4999999999999998E-2</v>
      </c>
      <c r="N57" s="11">
        <v>0.25</v>
      </c>
      <c r="O57" s="3">
        <f t="shared" si="1"/>
        <v>1.9019449632217321E-2</v>
      </c>
      <c r="P57" s="3">
        <f t="shared" si="2"/>
        <v>3.6491438321771479E-2</v>
      </c>
      <c r="Q57" s="11">
        <v>1</v>
      </c>
      <c r="R57" s="3">
        <f t="shared" si="10"/>
        <v>1.9019449632217321E-2</v>
      </c>
    </row>
    <row r="58" spans="1:18">
      <c r="A58" s="29">
        <f t="shared" si="11"/>
        <v>1.9000000000000006</v>
      </c>
      <c r="B58" s="15">
        <f t="shared" si="3"/>
        <v>0.52631578947368407</v>
      </c>
      <c r="C58" s="4">
        <f t="shared" si="4"/>
        <v>0.52631578947368407</v>
      </c>
      <c r="D58" s="3">
        <f t="shared" si="5"/>
        <v>0.69603525271099598</v>
      </c>
      <c r="E58" s="16">
        <f t="shared" si="6"/>
        <v>0.46750570870546715</v>
      </c>
      <c r="F58" s="4">
        <f t="shared" si="7"/>
        <v>0.4373159326179063</v>
      </c>
      <c r="G58" s="4">
        <f t="shared" si="8"/>
        <v>9.0189221702076786E-2</v>
      </c>
      <c r="H58" s="4">
        <v>15</v>
      </c>
      <c r="I58" s="4">
        <f t="shared" si="12"/>
        <v>28</v>
      </c>
      <c r="J58" s="4">
        <f t="shared" si="9"/>
        <v>23.449197642539964</v>
      </c>
      <c r="K58" s="4">
        <f t="shared" si="0"/>
        <v>93.796790570159857</v>
      </c>
      <c r="L58" s="4">
        <v>53000</v>
      </c>
      <c r="M58" s="11">
        <v>4.4999999999999998E-2</v>
      </c>
      <c r="N58" s="11">
        <v>0.25</v>
      </c>
      <c r="O58" s="3">
        <f t="shared" si="1"/>
        <v>1.7697507654747143E-2</v>
      </c>
      <c r="P58" s="3">
        <f t="shared" si="2"/>
        <v>4.0841231773990426E-2</v>
      </c>
      <c r="Q58" s="11">
        <v>1</v>
      </c>
      <c r="R58" s="3">
        <f t="shared" si="10"/>
        <v>1.7697507654747143E-2</v>
      </c>
    </row>
    <row r="59" spans="1:18">
      <c r="A59" s="29">
        <f t="shared" si="11"/>
        <v>2.0000000000000004</v>
      </c>
      <c r="B59" s="15">
        <f t="shared" si="3"/>
        <v>0.49999999999999989</v>
      </c>
      <c r="C59" s="4">
        <f t="shared" si="4"/>
        <v>0.49999999999999989</v>
      </c>
      <c r="D59" s="3">
        <f t="shared" si="5"/>
        <v>0.65319726474218076</v>
      </c>
      <c r="E59" s="16">
        <f t="shared" si="6"/>
        <v>0.42599821613620475</v>
      </c>
      <c r="F59" s="4">
        <f t="shared" si="7"/>
        <v>0.40271584158066148</v>
      </c>
      <c r="G59" s="4">
        <f t="shared" si="8"/>
        <v>8.4026895173399188E-2</v>
      </c>
      <c r="H59" s="4">
        <v>15</v>
      </c>
      <c r="I59" s="4">
        <f t="shared" si="12"/>
        <v>29.499999999999996</v>
      </c>
      <c r="J59" s="4">
        <f t="shared" si="9"/>
        <v>21.846992745083789</v>
      </c>
      <c r="K59" s="4">
        <f t="shared" si="0"/>
        <v>87.387970980335155</v>
      </c>
      <c r="L59" s="4">
        <v>53000</v>
      </c>
      <c r="M59" s="11">
        <v>4.4999999999999998E-2</v>
      </c>
      <c r="N59" s="11">
        <v>0.25</v>
      </c>
      <c r="O59" s="3">
        <f t="shared" si="1"/>
        <v>1.6488296411383989E-2</v>
      </c>
      <c r="P59" s="3">
        <f t="shared" si="2"/>
        <v>4.5474539089182461E-2</v>
      </c>
      <c r="Q59" s="11">
        <v>1</v>
      </c>
      <c r="R59" s="3">
        <f t="shared" si="10"/>
        <v>1.6488296411383989E-2</v>
      </c>
    </row>
    <row r="60" spans="1:18">
      <c r="A60" s="29">
        <f t="shared" si="11"/>
        <v>2.1000000000000005</v>
      </c>
      <c r="B60" s="15">
        <f t="shared" si="3"/>
        <v>0.47619047619047605</v>
      </c>
      <c r="C60" s="4">
        <f t="shared" si="4"/>
        <v>0.47619047619047605</v>
      </c>
      <c r="D60" s="3">
        <f t="shared" si="5"/>
        <v>0.61327181575603129</v>
      </c>
      <c r="E60" s="16">
        <f t="shared" si="6"/>
        <v>0.38996302188214838</v>
      </c>
      <c r="F60" s="4">
        <f t="shared" si="7"/>
        <v>0.37182397717232046</v>
      </c>
      <c r="G60" s="4">
        <f t="shared" si="8"/>
        <v>7.8391432431788671E-2</v>
      </c>
      <c r="H60" s="4">
        <v>15</v>
      </c>
      <c r="I60" s="4">
        <f t="shared" si="12"/>
        <v>30.999999999999996</v>
      </c>
      <c r="J60" s="4">
        <f t="shared" si="9"/>
        <v>20.381772432265056</v>
      </c>
      <c r="K60" s="4">
        <f t="shared" si="0"/>
        <v>81.527089729060222</v>
      </c>
      <c r="L60" s="4">
        <v>53000</v>
      </c>
      <c r="M60" s="11">
        <v>4.4999999999999998E-2</v>
      </c>
      <c r="N60" s="11">
        <v>0.25</v>
      </c>
      <c r="O60" s="3">
        <f t="shared" si="1"/>
        <v>1.5382469760200041E-2</v>
      </c>
      <c r="P60" s="3">
        <f t="shared" si="2"/>
        <v>5.0383853036899066E-2</v>
      </c>
      <c r="Q60" s="11">
        <v>1</v>
      </c>
      <c r="R60" s="3">
        <f t="shared" si="10"/>
        <v>1.5382469760200041E-2</v>
      </c>
    </row>
    <row r="61" spans="1:18">
      <c r="A61" s="29">
        <f t="shared" si="11"/>
        <v>2.2000000000000006</v>
      </c>
      <c r="B61" s="15">
        <f t="shared" si="3"/>
        <v>0.45454545454545442</v>
      </c>
      <c r="C61" s="4">
        <f t="shared" si="4"/>
        <v>0.45454545454545442</v>
      </c>
      <c r="D61" s="3">
        <f t="shared" si="5"/>
        <v>0.57615823574798608</v>
      </c>
      <c r="E61" s="16">
        <f t="shared" si="6"/>
        <v>0.3584263558677418</v>
      </c>
      <c r="F61" s="4">
        <f t="shared" si="7"/>
        <v>0.34416178391420521</v>
      </c>
      <c r="G61" s="4">
        <f t="shared" si="8"/>
        <v>7.323674017783402E-2</v>
      </c>
      <c r="H61" s="4">
        <v>15</v>
      </c>
      <c r="I61" s="4">
        <f t="shared" si="12"/>
        <v>32.5</v>
      </c>
      <c r="J61" s="4">
        <f t="shared" si="9"/>
        <v>19.041552446236846</v>
      </c>
      <c r="K61" s="4">
        <f t="shared" si="0"/>
        <v>76.166209784947384</v>
      </c>
      <c r="L61" s="4">
        <v>53000</v>
      </c>
      <c r="M61" s="11">
        <v>4.4999999999999998E-2</v>
      </c>
      <c r="N61" s="11">
        <v>0.25</v>
      </c>
      <c r="O61" s="3">
        <f t="shared" si="1"/>
        <v>1.437098297829196E-2</v>
      </c>
      <c r="P61" s="3">
        <f t="shared" si="2"/>
        <v>5.5559582926725748E-2</v>
      </c>
      <c r="Q61" s="11">
        <v>1</v>
      </c>
      <c r="R61" s="3">
        <f t="shared" si="10"/>
        <v>1.437098297829196E-2</v>
      </c>
    </row>
    <row r="62" spans="1:18">
      <c r="A62" s="29">
        <f t="shared" si="11"/>
        <v>2.3000000000000007</v>
      </c>
      <c r="B62" s="15">
        <f t="shared" si="3"/>
        <v>0.43478260869565205</v>
      </c>
      <c r="C62" s="4">
        <f t="shared" si="4"/>
        <v>0.43478260869565205</v>
      </c>
      <c r="D62" s="3">
        <f t="shared" si="5"/>
        <v>0.54171818877701194</v>
      </c>
      <c r="E62" s="16">
        <f t="shared" si="6"/>
        <v>0.33063483485561995</v>
      </c>
      <c r="F62" s="4">
        <f t="shared" si="7"/>
        <v>0.3193199428489491</v>
      </c>
      <c r="G62" s="4">
        <f t="shared" si="8"/>
        <v>6.8519237419440854E-2</v>
      </c>
      <c r="H62" s="4">
        <v>15</v>
      </c>
      <c r="I62" s="4">
        <f t="shared" si="12"/>
        <v>34</v>
      </c>
      <c r="J62" s="4">
        <f t="shared" si="9"/>
        <v>17.815001729054622</v>
      </c>
      <c r="K62" s="4">
        <f t="shared" si="0"/>
        <v>71.260006916218487</v>
      </c>
      <c r="L62" s="4">
        <v>53000</v>
      </c>
      <c r="M62" s="11">
        <v>4.4999999999999998E-2</v>
      </c>
      <c r="N62" s="11">
        <v>0.25</v>
      </c>
      <c r="O62" s="3">
        <f t="shared" si="1"/>
        <v>1.3445284323814808E-2</v>
      </c>
      <c r="P62" s="3">
        <f t="shared" si="2"/>
        <v>6.0990312258397079E-2</v>
      </c>
      <c r="Q62" s="11">
        <v>1</v>
      </c>
      <c r="R62" s="3">
        <f t="shared" si="10"/>
        <v>1.3445284323814808E-2</v>
      </c>
    </row>
    <row r="63" spans="1:18">
      <c r="A63" s="29">
        <f t="shared" si="11"/>
        <v>2.4000000000000008</v>
      </c>
      <c r="B63" s="15">
        <f t="shared" si="3"/>
        <v>0.41666666666666652</v>
      </c>
      <c r="C63" s="4">
        <f t="shared" si="4"/>
        <v>0.41666666666666652</v>
      </c>
      <c r="D63" s="3">
        <f t="shared" si="5"/>
        <v>0.509792775349873</v>
      </c>
      <c r="E63" s="16">
        <f t="shared" si="6"/>
        <v>0.30599512893378</v>
      </c>
      <c r="F63" s="4">
        <f t="shared" si="7"/>
        <v>0.29694779713815811</v>
      </c>
      <c r="G63" s="4">
        <f t="shared" si="8"/>
        <v>6.4198374952127824E-2</v>
      </c>
      <c r="H63" s="4">
        <v>15</v>
      </c>
      <c r="I63" s="4">
        <f t="shared" si="12"/>
        <v>35.5</v>
      </c>
      <c r="J63" s="4">
        <f t="shared" si="9"/>
        <v>16.691577487553236</v>
      </c>
      <c r="K63" s="4">
        <f t="shared" si="0"/>
        <v>66.766309950212943</v>
      </c>
      <c r="L63" s="4">
        <v>53000</v>
      </c>
      <c r="M63" s="11">
        <v>4.4999999999999998E-2</v>
      </c>
      <c r="N63" s="11">
        <v>0.25</v>
      </c>
      <c r="O63" s="3">
        <f t="shared" si="1"/>
        <v>1.2597416971738291E-2</v>
      </c>
      <c r="P63" s="3">
        <f t="shared" si="2"/>
        <v>6.6663076119579362E-2</v>
      </c>
      <c r="Q63" s="11">
        <v>1</v>
      </c>
      <c r="R63" s="3">
        <f t="shared" si="10"/>
        <v>1.2597416971738291E-2</v>
      </c>
    </row>
    <row r="64" spans="1:18">
      <c r="A64" s="29">
        <f t="shared" si="11"/>
        <v>2.5000000000000009</v>
      </c>
      <c r="B64" s="15">
        <f t="shared" si="3"/>
        <v>0.39999999999999986</v>
      </c>
      <c r="C64" s="4">
        <f t="shared" si="4"/>
        <v>0.39999999999999986</v>
      </c>
      <c r="D64" s="3">
        <f t="shared" si="5"/>
        <v>0.48021422332606278</v>
      </c>
      <c r="E64" s="16">
        <f t="shared" si="6"/>
        <v>0.28403276373488384</v>
      </c>
      <c r="F64" s="4">
        <f t="shared" si="7"/>
        <v>0.27674435477021408</v>
      </c>
      <c r="G64" s="4">
        <f t="shared" si="8"/>
        <v>6.0236849709917481E-2</v>
      </c>
      <c r="H64" s="4">
        <v>15</v>
      </c>
      <c r="I64" s="4">
        <f t="shared" si="12"/>
        <v>37</v>
      </c>
      <c r="J64" s="4">
        <f t="shared" si="9"/>
        <v>15.661580924578544</v>
      </c>
      <c r="K64" s="4">
        <f t="shared" si="0"/>
        <v>62.646323698314177</v>
      </c>
      <c r="L64" s="4">
        <v>53000</v>
      </c>
      <c r="M64" s="11">
        <v>4.4999999999999998E-2</v>
      </c>
      <c r="N64" s="11">
        <v>0.25</v>
      </c>
      <c r="O64" s="3">
        <f t="shared" si="1"/>
        <v>1.1820061075153617E-2</v>
      </c>
      <c r="P64" s="3">
        <f t="shared" si="2"/>
        <v>7.2563648581441598E-2</v>
      </c>
      <c r="Q64" s="11">
        <v>1</v>
      </c>
      <c r="R64" s="3">
        <f t="shared" si="10"/>
        <v>1.1820061075153617E-2</v>
      </c>
    </row>
    <row r="65" spans="1:18">
      <c r="A65" s="29">
        <f t="shared" si="11"/>
        <v>2.600000000000001</v>
      </c>
      <c r="B65" s="15">
        <f t="shared" si="3"/>
        <v>0.38461538461538447</v>
      </c>
      <c r="C65" s="4">
        <f t="shared" si="4"/>
        <v>0.38461538461538447</v>
      </c>
      <c r="D65" s="3">
        <f t="shared" si="5"/>
        <v>0.45281370717491309</v>
      </c>
      <c r="E65" s="16">
        <f t="shared" si="6"/>
        <v>0.26436326008675526</v>
      </c>
      <c r="F65" s="4">
        <f t="shared" si="7"/>
        <v>0.25845067781802472</v>
      </c>
      <c r="G65" s="4">
        <f t="shared" si="8"/>
        <v>5.6600621358421484E-2</v>
      </c>
      <c r="H65" s="4">
        <v>15</v>
      </c>
      <c r="I65" s="4">
        <f t="shared" si="12"/>
        <v>38.5</v>
      </c>
      <c r="J65" s="4">
        <f t="shared" si="9"/>
        <v>14.716161553189586</v>
      </c>
      <c r="K65" s="4">
        <f t="shared" si="0"/>
        <v>58.864646212758345</v>
      </c>
      <c r="L65" s="4">
        <v>53000</v>
      </c>
      <c r="M65" s="11">
        <v>4.4999999999999998E-2</v>
      </c>
      <c r="N65" s="11">
        <v>0.25</v>
      </c>
      <c r="O65" s="3">
        <f t="shared" si="1"/>
        <v>1.1106537021275158E-2</v>
      </c>
      <c r="P65" s="3">
        <f t="shared" si="2"/>
        <v>7.8676830702031436E-2</v>
      </c>
      <c r="Q65" s="11">
        <v>1</v>
      </c>
      <c r="R65" s="3">
        <f t="shared" si="10"/>
        <v>1.1106537021275158E-2</v>
      </c>
    </row>
    <row r="66" spans="1:18">
      <c r="A66" s="29">
        <f t="shared" si="11"/>
        <v>2.7000000000000011</v>
      </c>
      <c r="B66" s="15">
        <f t="shared" si="3"/>
        <v>0.37037037037037024</v>
      </c>
      <c r="C66" s="4">
        <f t="shared" si="4"/>
        <v>0.37037037037037024</v>
      </c>
      <c r="D66" s="3">
        <f t="shared" si="5"/>
        <v>0.42742642467959541</v>
      </c>
      <c r="E66" s="16">
        <f t="shared" si="6"/>
        <v>0.24667145313999611</v>
      </c>
      <c r="F66" s="4">
        <f t="shared" si="7"/>
        <v>0.24184346795973277</v>
      </c>
      <c r="G66" s="4">
        <f t="shared" si="8"/>
        <v>5.3258805838065588E-2</v>
      </c>
      <c r="H66" s="4">
        <v>15</v>
      </c>
      <c r="I66" s="4">
        <f t="shared" si="12"/>
        <v>40</v>
      </c>
      <c r="J66" s="4">
        <f t="shared" si="9"/>
        <v>13.847289517897053</v>
      </c>
      <c r="K66" s="4">
        <f t="shared" si="0"/>
        <v>55.389158071588213</v>
      </c>
      <c r="L66" s="4">
        <v>53000</v>
      </c>
      <c r="M66" s="11">
        <v>4.4999999999999998E-2</v>
      </c>
      <c r="N66" s="11">
        <v>0.25</v>
      </c>
      <c r="O66" s="3">
        <f t="shared" si="1"/>
        <v>1.0450784541809097E-2</v>
      </c>
      <c r="P66" s="3">
        <f t="shared" si="2"/>
        <v>8.498673064661233E-2</v>
      </c>
      <c r="Q66" s="11">
        <v>1</v>
      </c>
      <c r="R66" s="3">
        <f t="shared" si="10"/>
        <v>1.0450784541809097E-2</v>
      </c>
    </row>
    <row r="67" spans="1:18">
      <c r="A67" s="29">
        <f t="shared" si="11"/>
        <v>2.8000000000000012</v>
      </c>
      <c r="B67" s="15">
        <f t="shared" si="3"/>
        <v>0.35714285714285698</v>
      </c>
      <c r="C67" s="4">
        <f t="shared" si="4"/>
        <v>0.35714285714285698</v>
      </c>
      <c r="D67" s="3">
        <f t="shared" si="5"/>
        <v>0.40389475035686562</v>
      </c>
      <c r="E67" s="16">
        <f t="shared" si="6"/>
        <v>0.23069637114056601</v>
      </c>
      <c r="F67" s="4">
        <f t="shared" si="7"/>
        <v>0.22672967123482746</v>
      </c>
      <c r="G67" s="4">
        <f t="shared" si="8"/>
        <v>5.0183496965392663E-2</v>
      </c>
      <c r="H67" s="4">
        <v>15</v>
      </c>
      <c r="I67" s="4">
        <f t="shared" si="12"/>
        <v>41.5</v>
      </c>
      <c r="J67" s="4">
        <f t="shared" si="9"/>
        <v>13.047709211002092</v>
      </c>
      <c r="K67" s="4">
        <f t="shared" si="0"/>
        <v>52.190836844008366</v>
      </c>
      <c r="L67" s="4">
        <v>53000</v>
      </c>
      <c r="M67" s="11">
        <v>4.4999999999999998E-2</v>
      </c>
      <c r="N67" s="11">
        <v>0.25</v>
      </c>
      <c r="O67" s="3">
        <f t="shared" si="1"/>
        <v>9.8473277064166729E-3</v>
      </c>
      <c r="P67" s="3">
        <f t="shared" si="2"/>
        <v>9.1477028718164322E-2</v>
      </c>
      <c r="Q67" s="11">
        <v>1</v>
      </c>
      <c r="R67" s="3">
        <f t="shared" si="10"/>
        <v>9.8473277064166729E-3</v>
      </c>
    </row>
    <row r="68" spans="1:18">
      <c r="A68" s="29">
        <f t="shared" si="11"/>
        <v>2.9000000000000012</v>
      </c>
      <c r="B68" s="15">
        <f t="shared" si="3"/>
        <v>0.34482758620689641</v>
      </c>
      <c r="C68" s="4">
        <f t="shared" si="4"/>
        <v>0.34482758620689641</v>
      </c>
      <c r="D68" s="3">
        <f t="shared" si="5"/>
        <v>0.38207005512940612</v>
      </c>
      <c r="E68" s="16">
        <f t="shared" si="6"/>
        <v>0.21621997864408271</v>
      </c>
      <c r="F68" s="4">
        <f t="shared" si="7"/>
        <v>0.21294194396861293</v>
      </c>
      <c r="G68" s="4">
        <f>(D68+F68)/(4*PI())</f>
        <v>4.7349550427720051E-2</v>
      </c>
      <c r="H68" s="4">
        <v>15</v>
      </c>
      <c r="I68" s="4">
        <f t="shared" si="12"/>
        <v>43</v>
      </c>
      <c r="J68" s="4">
        <f t="shared" si="9"/>
        <v>12.310883111207213</v>
      </c>
      <c r="K68" s="4">
        <f t="shared" si="0"/>
        <v>49.243532444828851</v>
      </c>
      <c r="L68" s="4">
        <v>53000</v>
      </c>
      <c r="M68" s="11">
        <v>4.4999999999999998E-2</v>
      </c>
      <c r="N68" s="11">
        <v>0.25</v>
      </c>
      <c r="O68" s="3">
        <f t="shared" si="1"/>
        <v>9.2912325367601606E-3</v>
      </c>
      <c r="P68" s="3">
        <f t="shared" si="2"/>
        <v>9.8131221602417232E-2</v>
      </c>
      <c r="Q68" s="11">
        <v>1</v>
      </c>
      <c r="R68" s="3">
        <f t="shared" si="10"/>
        <v>9.2912325367601606E-3</v>
      </c>
    </row>
    <row r="69" spans="1:18">
      <c r="A69" s="29">
        <f t="shared" si="11"/>
        <v>3.0000000000000013</v>
      </c>
      <c r="B69" s="15">
        <f t="shared" si="3"/>
        <v>0.3333333333333332</v>
      </c>
      <c r="C69" s="4">
        <f t="shared" si="4"/>
        <v>0.3333333333333332</v>
      </c>
      <c r="D69" s="3">
        <f t="shared" si="5"/>
        <v>0.36181361349331609</v>
      </c>
      <c r="E69" s="16">
        <f t="shared" si="6"/>
        <v>0.20305866063400391</v>
      </c>
      <c r="F69" s="4">
        <f t="shared" si="7"/>
        <v>0.20033484232311943</v>
      </c>
      <c r="G69" s="4">
        <f t="shared" si="8"/>
        <v>4.473435274733082E-2</v>
      </c>
      <c r="H69" s="4">
        <v>15</v>
      </c>
      <c r="I69" s="4">
        <f t="shared" si="12"/>
        <v>44.5</v>
      </c>
      <c r="J69" s="4">
        <f t="shared" si="9"/>
        <v>11.630931714306014</v>
      </c>
      <c r="K69" s="4">
        <f t="shared" si="0"/>
        <v>46.523726857224055</v>
      </c>
      <c r="L69" s="4">
        <v>53000</v>
      </c>
      <c r="M69" s="11">
        <v>4.4999999999999998E-2</v>
      </c>
      <c r="N69" s="11">
        <v>0.25</v>
      </c>
      <c r="O69" s="3">
        <f t="shared" si="1"/>
        <v>8.7780616711743507E-3</v>
      </c>
      <c r="P69" s="3">
        <f t="shared" si="2"/>
        <v>0.10493284172386817</v>
      </c>
      <c r="Q69" s="11">
        <v>1</v>
      </c>
      <c r="R69" s="3">
        <f t="shared" si="10"/>
        <v>8.7780616711743507E-3</v>
      </c>
    </row>
    <row r="70" spans="1:18">
      <c r="A70" s="29">
        <f t="shared" si="11"/>
        <v>3.1000000000000014</v>
      </c>
      <c r="B70" s="15">
        <f t="shared" si="3"/>
        <v>0.32258064516129015</v>
      </c>
      <c r="C70" s="4">
        <f t="shared" si="4"/>
        <v>0.32258064516129015</v>
      </c>
      <c r="D70" s="3">
        <f t="shared" si="5"/>
        <v>0.34299689721764764</v>
      </c>
      <c r="E70" s="16">
        <f t="shared" si="6"/>
        <v>0.19105668650931831</v>
      </c>
      <c r="F70" s="4">
        <f t="shared" si="7"/>
        <v>0.18878161780328107</v>
      </c>
      <c r="G70" s="4">
        <f t="shared" si="8"/>
        <v>4.2317589647824255E-2</v>
      </c>
      <c r="H70" s="4">
        <v>15</v>
      </c>
      <c r="I70" s="4">
        <f t="shared" si="12"/>
        <v>46</v>
      </c>
      <c r="J70" s="4">
        <f t="shared" si="9"/>
        <v>11.002573308434306</v>
      </c>
      <c r="K70" s="4">
        <f t="shared" si="0"/>
        <v>44.010293233737222</v>
      </c>
      <c r="L70" s="4">
        <v>53000</v>
      </c>
      <c r="M70" s="11">
        <v>2.1000000000000001E-2</v>
      </c>
      <c r="N70" s="11">
        <v>0.1</v>
      </c>
      <c r="O70" s="3">
        <f t="shared" si="1"/>
        <v>8.3038289120258915E-3</v>
      </c>
      <c r="P70" s="3">
        <f t="shared" si="2"/>
        <v>5.9322692735760331E-2</v>
      </c>
      <c r="Q70" s="11">
        <v>1</v>
      </c>
      <c r="R70" s="3">
        <f t="shared" si="10"/>
        <v>8.3038289120258915E-3</v>
      </c>
    </row>
    <row r="71" spans="1:18">
      <c r="A71" s="29">
        <f t="shared" si="11"/>
        <v>3.2000000000000015</v>
      </c>
      <c r="B71" s="15">
        <f t="shared" si="3"/>
        <v>0.31249999999999983</v>
      </c>
      <c r="C71" s="4">
        <f t="shared" si="4"/>
        <v>0.31249999999999983</v>
      </c>
      <c r="D71" s="3">
        <f t="shared" si="5"/>
        <v>0.32550146646264994</v>
      </c>
      <c r="E71" s="16">
        <f t="shared" si="6"/>
        <v>0.18008112812380109</v>
      </c>
      <c r="F71" s="4">
        <f t="shared" si="7"/>
        <v>0.17817151918442453</v>
      </c>
      <c r="G71" s="4">
        <f t="shared" si="8"/>
        <v>4.0081022683792586E-2</v>
      </c>
      <c r="H71" s="4">
        <v>15</v>
      </c>
      <c r="I71" s="4">
        <f t="shared" si="12"/>
        <v>47.5</v>
      </c>
      <c r="J71" s="4">
        <f t="shared" si="9"/>
        <v>10.421065897786072</v>
      </c>
      <c r="K71" s="4">
        <f t="shared" si="0"/>
        <v>41.684263591144287</v>
      </c>
      <c r="L71" s="4">
        <v>53000</v>
      </c>
      <c r="M71" s="11">
        <v>2.1000000000000001E-2</v>
      </c>
      <c r="N71" s="11">
        <v>0.1</v>
      </c>
      <c r="O71" s="3">
        <f t="shared" si="1"/>
        <v>7.8649553945555253E-3</v>
      </c>
      <c r="P71" s="3">
        <f t="shared" si="2"/>
        <v>6.3060345814767965E-2</v>
      </c>
      <c r="Q71" s="11">
        <v>1</v>
      </c>
      <c r="R71" s="3">
        <f t="shared" si="10"/>
        <v>7.8649553945555253E-3</v>
      </c>
    </row>
    <row r="72" spans="1:18">
      <c r="A72" s="29">
        <f t="shared" si="11"/>
        <v>3.3000000000000016</v>
      </c>
      <c r="B72" s="15">
        <f t="shared" si="3"/>
        <v>0.30303030303030287</v>
      </c>
      <c r="C72" s="4">
        <f t="shared" si="4"/>
        <v>0.30303030303030287</v>
      </c>
      <c r="D72" s="3">
        <f t="shared" si="5"/>
        <v>0.30921860595334943</v>
      </c>
      <c r="E72" s="16">
        <f t="shared" si="6"/>
        <v>0.17001786192316409</v>
      </c>
      <c r="F72" s="4">
        <f t="shared" si="7"/>
        <v>0.16840751730930237</v>
      </c>
      <c r="G72" s="4">
        <f t="shared" si="8"/>
        <v>3.8008279233534968E-2</v>
      </c>
      <c r="H72" s="4">
        <v>15</v>
      </c>
      <c r="I72" s="4">
        <f t="shared" si="12"/>
        <v>49</v>
      </c>
      <c r="J72" s="4">
        <f t="shared" si="9"/>
        <v>9.8821526007190919</v>
      </c>
      <c r="K72" s="4">
        <f t="shared" ref="K72:K103" si="13">4*J72</f>
        <v>39.528610402876367</v>
      </c>
      <c r="L72" s="4">
        <v>30000</v>
      </c>
      <c r="M72" s="11">
        <v>2.1000000000000001E-2</v>
      </c>
      <c r="N72" s="11">
        <v>0.1</v>
      </c>
      <c r="O72" s="3">
        <f t="shared" ref="O72:O103" si="14">100*$B$12*K72/L72</f>
        <v>1.3176203467625457E-2</v>
      </c>
      <c r="P72" s="3">
        <f t="shared" ref="P72:P103" si="15">(M72/(1+N72))*$B$12*LOG10((I72+K72)/K72)*100</f>
        <v>6.6851037272774388E-2</v>
      </c>
      <c r="Q72" s="11">
        <v>1</v>
      </c>
      <c r="R72" s="3">
        <f t="shared" si="10"/>
        <v>1.3176203467625457E-2</v>
      </c>
    </row>
    <row r="73" spans="1:18">
      <c r="A73" s="23">
        <f t="shared" si="11"/>
        <v>3.4000000000000017</v>
      </c>
      <c r="B73" s="15">
        <f t="shared" si="3"/>
        <v>0.29411764705882337</v>
      </c>
      <c r="C73" s="4">
        <f t="shared" si="4"/>
        <v>0.29411764705882337</v>
      </c>
      <c r="D73" s="3">
        <f t="shared" si="5"/>
        <v>0.29404880866530758</v>
      </c>
      <c r="E73" s="16">
        <f t="shared" si="6"/>
        <v>0.16076839052034658</v>
      </c>
      <c r="F73" s="4">
        <f t="shared" si="7"/>
        <v>0.15940438297212808</v>
      </c>
      <c r="G73" s="4">
        <f t="shared" si="8"/>
        <v>3.6084658454947197E-2</v>
      </c>
      <c r="H73" s="4">
        <v>15</v>
      </c>
      <c r="I73" s="4">
        <f t="shared" si="12"/>
        <v>50.5</v>
      </c>
      <c r="J73" s="4">
        <f t="shared" si="9"/>
        <v>9.3820111982862713</v>
      </c>
      <c r="K73" s="4">
        <f t="shared" si="13"/>
        <v>37.528044793145085</v>
      </c>
      <c r="L73" s="4">
        <v>30000</v>
      </c>
      <c r="M73" s="11">
        <v>2.1000000000000001E-2</v>
      </c>
      <c r="N73" s="11">
        <v>0.1</v>
      </c>
      <c r="O73" s="3">
        <f t="shared" si="14"/>
        <v>1.2509348264381695E-2</v>
      </c>
      <c r="P73" s="3">
        <f t="shared" si="15"/>
        <v>7.0686976969726006E-2</v>
      </c>
      <c r="Q73" s="11">
        <v>1</v>
      </c>
      <c r="R73" s="3">
        <f t="shared" si="10"/>
        <v>1.2509348264381695E-2</v>
      </c>
    </row>
    <row r="74" spans="1:18">
      <c r="A74" s="23">
        <f t="shared" si="11"/>
        <v>3.5000000000000018</v>
      </c>
      <c r="B74" s="15">
        <f t="shared" si="3"/>
        <v>0.28571428571428559</v>
      </c>
      <c r="C74" s="4">
        <f t="shared" si="4"/>
        <v>0.28571428571428559</v>
      </c>
      <c r="D74" s="3">
        <f t="shared" si="5"/>
        <v>0.27990117734204678</v>
      </c>
      <c r="E74" s="16">
        <f t="shared" si="6"/>
        <v>0.15224729145666602</v>
      </c>
      <c r="F74" s="4">
        <f t="shared" si="7"/>
        <v>0.15108705979319481</v>
      </c>
      <c r="G74" s="4">
        <f t="shared" si="8"/>
        <v>3.4296954177267837E-2</v>
      </c>
      <c r="H74" s="4">
        <v>15</v>
      </c>
      <c r="I74" s="4">
        <f t="shared" si="12"/>
        <v>52</v>
      </c>
      <c r="J74" s="4">
        <f t="shared" si="9"/>
        <v>8.9172080860896372</v>
      </c>
      <c r="K74" s="4">
        <f t="shared" si="13"/>
        <v>35.668832344358549</v>
      </c>
      <c r="L74" s="4">
        <v>30000</v>
      </c>
      <c r="M74" s="11">
        <v>2.1000000000000001E-2</v>
      </c>
      <c r="N74" s="11">
        <v>0.1</v>
      </c>
      <c r="O74" s="3">
        <f t="shared" si="14"/>
        <v>1.188961078145285E-2</v>
      </c>
      <c r="P74" s="3">
        <f t="shared" si="15"/>
        <v>7.456075386217817E-2</v>
      </c>
      <c r="Q74" s="11">
        <v>1</v>
      </c>
      <c r="R74" s="3">
        <f t="shared" si="10"/>
        <v>1.188961078145285E-2</v>
      </c>
    </row>
    <row r="75" spans="1:18">
      <c r="A75" s="23">
        <f t="shared" si="11"/>
        <v>3.6000000000000019</v>
      </c>
      <c r="B75" s="15">
        <f t="shared" si="3"/>
        <v>0.27777777777777762</v>
      </c>
      <c r="C75" s="4">
        <f t="shared" si="4"/>
        <v>0.27777777777777762</v>
      </c>
      <c r="D75" s="3">
        <f t="shared" si="5"/>
        <v>0.26669279140144236</v>
      </c>
      <c r="E75" s="16">
        <f t="shared" si="6"/>
        <v>0.14438015151456501</v>
      </c>
      <c r="F75" s="4">
        <f t="shared" si="7"/>
        <v>0.14338928380567537</v>
      </c>
      <c r="G75" s="4">
        <f t="shared" si="8"/>
        <v>3.263329467129758E-2</v>
      </c>
      <c r="H75" s="4">
        <v>15</v>
      </c>
      <c r="I75" s="4">
        <f t="shared" si="12"/>
        <v>53.5</v>
      </c>
      <c r="J75" s="4">
        <f t="shared" si="9"/>
        <v>8.4846566145373714</v>
      </c>
      <c r="K75" s="4">
        <f t="shared" si="13"/>
        <v>33.938626458149486</v>
      </c>
      <c r="L75" s="4">
        <v>30000</v>
      </c>
      <c r="M75" s="11">
        <v>2.1000000000000001E-2</v>
      </c>
      <c r="N75" s="11">
        <v>0.1</v>
      </c>
      <c r="O75" s="3">
        <f t="shared" si="14"/>
        <v>1.1312875486049829E-2</v>
      </c>
      <c r="P75" s="3">
        <f t="shared" si="15"/>
        <v>7.8465366947710072E-2</v>
      </c>
      <c r="Q75" s="11">
        <v>1</v>
      </c>
      <c r="R75" s="3">
        <f t="shared" si="10"/>
        <v>1.1312875486049829E-2</v>
      </c>
    </row>
    <row r="76" spans="1:18">
      <c r="A76" s="23">
        <f t="shared" si="11"/>
        <v>3.700000000000002</v>
      </c>
      <c r="B76" s="15">
        <f t="shared" si="3"/>
        <v>0.27027027027027012</v>
      </c>
      <c r="C76" s="4">
        <f t="shared" si="4"/>
        <v>0.27027027027027012</v>
      </c>
      <c r="D76" s="3">
        <f t="shared" si="5"/>
        <v>0.25434807074353505</v>
      </c>
      <c r="E76" s="16">
        <f t="shared" si="6"/>
        <v>0.13710188087668926</v>
      </c>
      <c r="F76" s="4">
        <f t="shared" si="7"/>
        <v>0.13625240966824725</v>
      </c>
      <c r="G76" s="4">
        <f t="shared" si="8"/>
        <v>3.1082998615802097E-2</v>
      </c>
      <c r="H76" s="4">
        <v>15</v>
      </c>
      <c r="I76" s="4">
        <f t="shared" si="12"/>
        <v>55</v>
      </c>
      <c r="J76" s="4">
        <f t="shared" si="9"/>
        <v>8.0815796401085453</v>
      </c>
      <c r="K76" s="4">
        <f t="shared" si="13"/>
        <v>32.326318560434181</v>
      </c>
      <c r="L76" s="4">
        <v>30000</v>
      </c>
      <c r="M76" s="11">
        <v>2.1000000000000001E-2</v>
      </c>
      <c r="N76" s="11">
        <v>0.1</v>
      </c>
      <c r="O76" s="3">
        <f t="shared" si="14"/>
        <v>1.0775439520144727E-2</v>
      </c>
      <c r="P76" s="3">
        <f t="shared" si="15"/>
        <v>8.2394245212018768E-2</v>
      </c>
      <c r="Q76" s="11">
        <v>1</v>
      </c>
      <c r="R76" s="3">
        <f t="shared" si="10"/>
        <v>1.0775439520144727E-2</v>
      </c>
    </row>
    <row r="77" spans="1:18">
      <c r="A77" s="23">
        <f t="shared" si="11"/>
        <v>3.800000000000002</v>
      </c>
      <c r="B77" s="15">
        <f t="shared" ref="B77:B94" si="16">$B$10/A77</f>
        <v>0.26315789473684198</v>
      </c>
      <c r="C77" s="4">
        <f t="shared" ref="C77:C94" si="17">$B$9/A77</f>
        <v>0.26315789473684198</v>
      </c>
      <c r="D77" s="3">
        <f t="shared" ref="D77:D94" si="18">2*C77*B77*SQRT(B77^2+C77^2+1)*(B77^2+C77^2+2)/((C77^2+B77^2+B77^2*C77^2+1)*(C77^2+B77^2+1))</f>
        <v>0.2427981567272747</v>
      </c>
      <c r="E77" s="16">
        <f t="shared" ref="E77:E94" si="19">((2*B77*C77*SQRT(B77^2+C77^2+1)/(B77^2+C77^2-C77^2 *B77^2+1)))</f>
        <v>0.1303553272919579</v>
      </c>
      <c r="F77" s="4">
        <f t="shared" ref="F77:F94" si="20">IF(E77&lt;0,ATAN(E77)+PI(),ATAN(E77))</f>
        <v>0.12962441022135229</v>
      </c>
      <c r="G77" s="4">
        <f t="shared" ref="G77:G94" si="21">(D77+F77)/(4*PI())</f>
        <v>2.9636446224423154E-2</v>
      </c>
      <c r="H77" s="4">
        <v>15</v>
      </c>
      <c r="I77" s="4">
        <f t="shared" ref="I77:I94" si="22">I76+(A77-A76)*H77</f>
        <v>56.5</v>
      </c>
      <c r="J77" s="4">
        <f t="shared" ref="J77:J94" si="23">G77*$B$14</f>
        <v>7.7054760183500202</v>
      </c>
      <c r="K77" s="4">
        <f t="shared" si="13"/>
        <v>30.821904073400081</v>
      </c>
      <c r="L77" s="4">
        <v>30000</v>
      </c>
      <c r="M77" s="11">
        <v>2.1000000000000001E-2</v>
      </c>
      <c r="N77" s="11">
        <v>0.1</v>
      </c>
      <c r="O77" s="3">
        <f t="shared" si="14"/>
        <v>1.0273968024466694E-2</v>
      </c>
      <c r="P77" s="3">
        <f t="shared" si="15"/>
        <v>8.6341258035374957E-2</v>
      </c>
      <c r="Q77" s="11">
        <v>1</v>
      </c>
      <c r="R77" s="3">
        <f t="shared" si="10"/>
        <v>1.0273968024466694E-2</v>
      </c>
    </row>
    <row r="78" spans="1:18">
      <c r="A78" s="23">
        <f t="shared" si="11"/>
        <v>3.9000000000000021</v>
      </c>
      <c r="B78" s="15">
        <f t="shared" si="16"/>
        <v>0.25641025641025628</v>
      </c>
      <c r="C78" s="4">
        <f t="shared" si="17"/>
        <v>0.25641025641025628</v>
      </c>
      <c r="D78" s="3">
        <f t="shared" si="18"/>
        <v>0.2319803227597026</v>
      </c>
      <c r="E78" s="16">
        <f t="shared" si="19"/>
        <v>0.12409012927699317</v>
      </c>
      <c r="F78" s="4">
        <f t="shared" si="20"/>
        <v>0.12345902173990503</v>
      </c>
      <c r="G78" s="4">
        <f t="shared" si="21"/>
        <v>2.8284964323227819E-2</v>
      </c>
      <c r="H78" s="4">
        <v>15</v>
      </c>
      <c r="I78" s="4">
        <f t="shared" si="22"/>
        <v>58</v>
      </c>
      <c r="J78" s="4">
        <f t="shared" si="23"/>
        <v>7.3540907240392333</v>
      </c>
      <c r="K78" s="4">
        <f t="shared" si="13"/>
        <v>29.416362896156933</v>
      </c>
      <c r="L78" s="4">
        <v>30000</v>
      </c>
      <c r="M78" s="11">
        <v>2.1000000000000001E-2</v>
      </c>
      <c r="N78" s="11">
        <v>0.1</v>
      </c>
      <c r="O78" s="3">
        <f t="shared" si="14"/>
        <v>9.8054542987189765E-3</v>
      </c>
      <c r="P78" s="3">
        <f t="shared" si="15"/>
        <v>9.0300717512069736E-2</v>
      </c>
      <c r="Q78" s="11">
        <v>1</v>
      </c>
      <c r="R78" s="3">
        <f t="shared" si="10"/>
        <v>9.8054542987189765E-3</v>
      </c>
    </row>
    <row r="79" spans="1:18">
      <c r="A79" s="23">
        <f t="shared" si="11"/>
        <v>4.0000000000000018</v>
      </c>
      <c r="B79" s="15">
        <f t="shared" si="16"/>
        <v>0.24999999999999989</v>
      </c>
      <c r="C79" s="4">
        <f t="shared" si="17"/>
        <v>0.24999999999999989</v>
      </c>
      <c r="D79" s="3">
        <f t="shared" si="18"/>
        <v>0.22183742154872058</v>
      </c>
      <c r="E79" s="16">
        <f t="shared" si="19"/>
        <v>0.11826176131342944</v>
      </c>
      <c r="F79" s="4">
        <f t="shared" si="20"/>
        <v>0.11771501189416235</v>
      </c>
      <c r="G79" s="4">
        <f t="shared" si="21"/>
        <v>2.7020724110658308E-2</v>
      </c>
      <c r="H79" s="4">
        <v>15</v>
      </c>
      <c r="I79" s="4">
        <f t="shared" si="22"/>
        <v>59.499999999999993</v>
      </c>
      <c r="J79" s="4">
        <f t="shared" si="23"/>
        <v>7.0253882687711604</v>
      </c>
      <c r="K79" s="4">
        <f t="shared" si="13"/>
        <v>28.101553075084642</v>
      </c>
      <c r="L79" s="4">
        <v>30000</v>
      </c>
      <c r="M79" s="11">
        <v>2.1000000000000001E-2</v>
      </c>
      <c r="N79" s="11">
        <v>0.1</v>
      </c>
      <c r="O79" s="3">
        <f t="shared" si="14"/>
        <v>9.3671843583615477E-3</v>
      </c>
      <c r="P79" s="3">
        <f t="shared" si="15"/>
        <v>9.4267374078027932E-2</v>
      </c>
      <c r="Q79" s="11">
        <v>1</v>
      </c>
      <c r="R79" s="3">
        <f t="shared" si="10"/>
        <v>9.3671843583615477E-3</v>
      </c>
    </row>
    <row r="80" spans="1:18">
      <c r="A80" s="23">
        <f t="shared" si="11"/>
        <v>4.1000000000000014</v>
      </c>
      <c r="B80" s="15">
        <f t="shared" si="16"/>
        <v>0.24390243902439016</v>
      </c>
      <c r="C80" s="4">
        <f t="shared" si="17"/>
        <v>0.24390243902439016</v>
      </c>
      <c r="D80" s="3">
        <f t="shared" si="18"/>
        <v>0.21231737240134041</v>
      </c>
      <c r="E80" s="16">
        <f t="shared" si="19"/>
        <v>0.11283073440696234</v>
      </c>
      <c r="F80" s="4">
        <f t="shared" si="20"/>
        <v>0.112355551279421</v>
      </c>
      <c r="G80" s="4">
        <f t="shared" si="21"/>
        <v>2.5836650345945431E-2</v>
      </c>
      <c r="H80" s="4">
        <v>15</v>
      </c>
      <c r="I80" s="4">
        <f t="shared" si="22"/>
        <v>60.999999999999986</v>
      </c>
      <c r="J80" s="4">
        <f t="shared" si="23"/>
        <v>6.7175290899458124</v>
      </c>
      <c r="K80" s="4">
        <f t="shared" si="13"/>
        <v>26.87011635978325</v>
      </c>
      <c r="L80" s="4">
        <v>30000</v>
      </c>
      <c r="M80" s="11">
        <v>2.1000000000000001E-2</v>
      </c>
      <c r="N80" s="11">
        <v>0.1</v>
      </c>
      <c r="O80" s="3">
        <f t="shared" si="14"/>
        <v>8.956705453261082E-3</v>
      </c>
      <c r="P80" s="3">
        <f t="shared" si="15"/>
        <v>9.8236406744498697E-2</v>
      </c>
      <c r="Q80" s="11">
        <v>1</v>
      </c>
      <c r="R80" s="3">
        <f t="shared" si="10"/>
        <v>8.956705453261082E-3</v>
      </c>
    </row>
    <row r="81" spans="1:18">
      <c r="A81" s="23">
        <f t="shared" si="11"/>
        <v>4.2000000000000011</v>
      </c>
      <c r="B81" s="15">
        <f t="shared" si="16"/>
        <v>0.23809523809523803</v>
      </c>
      <c r="C81" s="4">
        <f t="shared" si="17"/>
        <v>0.23809523809523803</v>
      </c>
      <c r="D81" s="3">
        <f t="shared" si="18"/>
        <v>0.2033726894965022</v>
      </c>
      <c r="E81" s="16">
        <f t="shared" si="19"/>
        <v>0.10776192322801748</v>
      </c>
      <c r="F81" s="4">
        <f t="shared" si="20"/>
        <v>0.10734767255484386</v>
      </c>
      <c r="G81" s="4">
        <f t="shared" si="21"/>
        <v>2.4726340769887549E-2</v>
      </c>
      <c r="H81" s="4">
        <v>15</v>
      </c>
      <c r="I81" s="4">
        <f t="shared" si="22"/>
        <v>62.499999999999979</v>
      </c>
      <c r="J81" s="4">
        <f t="shared" si="23"/>
        <v>6.4288486001707623</v>
      </c>
      <c r="K81" s="4">
        <f t="shared" si="13"/>
        <v>25.715394400683049</v>
      </c>
      <c r="L81" s="4">
        <v>30000</v>
      </c>
      <c r="M81" s="11">
        <v>2.1000000000000001E-2</v>
      </c>
      <c r="N81" s="11">
        <v>0.1</v>
      </c>
      <c r="O81" s="3">
        <f t="shared" si="14"/>
        <v>8.5717981335610167E-3</v>
      </c>
      <c r="P81" s="3">
        <f t="shared" si="15"/>
        <v>0.1022034091139659</v>
      </c>
      <c r="Q81" s="11">
        <v>1</v>
      </c>
      <c r="R81" s="3">
        <f t="shared" si="10"/>
        <v>8.5717981335610167E-3</v>
      </c>
    </row>
    <row r="82" spans="1:18">
      <c r="A82" s="23">
        <f t="shared" si="11"/>
        <v>4.3000000000000007</v>
      </c>
      <c r="B82" s="15">
        <f t="shared" si="16"/>
        <v>0.23255813953488369</v>
      </c>
      <c r="C82" s="4">
        <f t="shared" si="17"/>
        <v>0.23255813953488369</v>
      </c>
      <c r="D82" s="3">
        <f t="shared" si="18"/>
        <v>0.19496005046339826</v>
      </c>
      <c r="E82" s="16">
        <f t="shared" si="19"/>
        <v>0.10302399704091958</v>
      </c>
      <c r="F82" s="4">
        <f t="shared" si="20"/>
        <v>0.10266180385968492</v>
      </c>
      <c r="G82" s="4">
        <f t="shared" si="21"/>
        <v>2.3683994643847336E-2</v>
      </c>
      <c r="H82" s="4">
        <v>15</v>
      </c>
      <c r="I82" s="4">
        <f t="shared" si="22"/>
        <v>63.999999999999972</v>
      </c>
      <c r="J82" s="4">
        <f t="shared" si="23"/>
        <v>6.1578386074003078</v>
      </c>
      <c r="K82" s="4">
        <f t="shared" si="13"/>
        <v>24.631354429601231</v>
      </c>
      <c r="L82" s="4">
        <v>30000</v>
      </c>
      <c r="M82" s="11">
        <v>2.1000000000000001E-2</v>
      </c>
      <c r="N82" s="11">
        <v>0.1</v>
      </c>
      <c r="O82" s="3">
        <f t="shared" si="14"/>
        <v>8.2104514765337436E-3</v>
      </c>
      <c r="P82" s="3">
        <f t="shared" si="15"/>
        <v>0.10616437221986676</v>
      </c>
      <c r="Q82" s="11">
        <v>1</v>
      </c>
      <c r="R82" s="3">
        <f t="shared" si="10"/>
        <v>8.2104514765337436E-3</v>
      </c>
    </row>
    <row r="83" spans="1:18">
      <c r="A83" s="23">
        <f t="shared" si="11"/>
        <v>4.4000000000000004</v>
      </c>
      <c r="B83" s="15">
        <f t="shared" si="16"/>
        <v>0.22727272727272727</v>
      </c>
      <c r="C83" s="4">
        <f t="shared" si="17"/>
        <v>0.22727272727272727</v>
      </c>
      <c r="D83" s="3">
        <f t="shared" si="18"/>
        <v>0.18703990359477682</v>
      </c>
      <c r="E83" s="16">
        <f t="shared" si="19"/>
        <v>9.8588936234358771E-2</v>
      </c>
      <c r="F83" s="4">
        <f t="shared" si="20"/>
        <v>9.8271365349141132E-2</v>
      </c>
      <c r="G83" s="4">
        <f t="shared" si="21"/>
        <v>2.2704349386122855E-2</v>
      </c>
      <c r="H83" s="4">
        <v>15</v>
      </c>
      <c r="I83" s="4">
        <f t="shared" si="22"/>
        <v>65.499999999999972</v>
      </c>
      <c r="J83" s="4">
        <f t="shared" si="23"/>
        <v>5.9031308403919418</v>
      </c>
      <c r="K83" s="4">
        <f t="shared" si="13"/>
        <v>23.612523361567767</v>
      </c>
      <c r="L83" s="4">
        <v>30000</v>
      </c>
      <c r="M83" s="11">
        <v>2.1000000000000001E-2</v>
      </c>
      <c r="N83" s="11">
        <v>0.1</v>
      </c>
      <c r="O83" s="3">
        <f t="shared" si="14"/>
        <v>7.8708411205225884E-3</v>
      </c>
      <c r="P83" s="3">
        <f t="shared" si="15"/>
        <v>0.11011566509350823</v>
      </c>
      <c r="Q83" s="11">
        <v>1</v>
      </c>
      <c r="R83" s="3">
        <f t="shared" si="10"/>
        <v>7.8708411205225884E-3</v>
      </c>
    </row>
    <row r="84" spans="1:18">
      <c r="A84" s="23">
        <f t="shared" si="11"/>
        <v>4.5</v>
      </c>
      <c r="B84" s="15">
        <f t="shared" si="16"/>
        <v>0.22222222222222221</v>
      </c>
      <c r="C84" s="4">
        <f t="shared" si="17"/>
        <v>0.22222222222222221</v>
      </c>
      <c r="D84" s="3">
        <f t="shared" si="18"/>
        <v>0.17957611143637153</v>
      </c>
      <c r="E84" s="16">
        <f t="shared" si="19"/>
        <v>9.4431619839854777E-2</v>
      </c>
      <c r="F84" s="4">
        <f t="shared" si="20"/>
        <v>9.415241949263578E-2</v>
      </c>
      <c r="G84" s="4">
        <f t="shared" si="21"/>
        <v>2.1782624381317135E-2</v>
      </c>
      <c r="H84" s="4">
        <v>15</v>
      </c>
      <c r="I84" s="4">
        <f t="shared" si="22"/>
        <v>66.999999999999972</v>
      </c>
      <c r="J84" s="4">
        <f t="shared" si="23"/>
        <v>5.6634823391424547</v>
      </c>
      <c r="K84" s="4">
        <f t="shared" si="13"/>
        <v>22.653929356569819</v>
      </c>
      <c r="L84" s="4">
        <v>30000</v>
      </c>
      <c r="M84" s="11">
        <v>2.1000000000000001E-2</v>
      </c>
      <c r="N84" s="11">
        <v>0.1</v>
      </c>
      <c r="O84" s="3">
        <f t="shared" si="14"/>
        <v>7.5513097855232731E-3</v>
      </c>
      <c r="P84" s="3">
        <f t="shared" si="15"/>
        <v>0.11405401382646622</v>
      </c>
      <c r="Q84" s="11">
        <v>1</v>
      </c>
      <c r="R84" s="3">
        <f t="shared" si="10"/>
        <v>7.5513097855232731E-3</v>
      </c>
    </row>
    <row r="85" spans="1:18">
      <c r="A85" s="23">
        <f t="shared" si="11"/>
        <v>4.5999999999999996</v>
      </c>
      <c r="B85" s="15">
        <f t="shared" si="16"/>
        <v>0.21739130434782611</v>
      </c>
      <c r="C85" s="4">
        <f t="shared" si="17"/>
        <v>0.21739130434782611</v>
      </c>
      <c r="D85" s="3">
        <f t="shared" si="18"/>
        <v>0.17253562818806684</v>
      </c>
      <c r="E85" s="16">
        <f t="shared" si="19"/>
        <v>9.0529472220288565E-2</v>
      </c>
      <c r="F85" s="4">
        <f t="shared" si="20"/>
        <v>9.0283367270839646E-2</v>
      </c>
      <c r="G85" s="4">
        <f t="shared" si="21"/>
        <v>2.0914471132865681E-2</v>
      </c>
      <c r="H85" s="4">
        <v>15</v>
      </c>
      <c r="I85" s="4">
        <f t="shared" si="22"/>
        <v>68.499999999999972</v>
      </c>
      <c r="J85" s="4">
        <f t="shared" si="23"/>
        <v>5.4377624945450771</v>
      </c>
      <c r="K85" s="4">
        <f t="shared" si="13"/>
        <v>21.751049978180308</v>
      </c>
      <c r="L85" s="4">
        <v>30000</v>
      </c>
      <c r="M85" s="11">
        <v>2.1000000000000001E-2</v>
      </c>
      <c r="N85" s="11">
        <v>0.1</v>
      </c>
      <c r="O85" s="3">
        <f t="shared" si="14"/>
        <v>7.2503499927267694E-3</v>
      </c>
      <c r="P85" s="3">
        <f t="shared" si="15"/>
        <v>0.11797647976942242</v>
      </c>
      <c r="Q85" s="11">
        <v>1</v>
      </c>
      <c r="R85" s="3">
        <f t="shared" si="10"/>
        <v>7.2503499927267694E-3</v>
      </c>
    </row>
    <row r="86" spans="1:18">
      <c r="A86" s="23">
        <f t="shared" si="11"/>
        <v>4.6999999999999993</v>
      </c>
      <c r="B86" s="15">
        <f t="shared" si="16"/>
        <v>0.21276595744680854</v>
      </c>
      <c r="C86" s="4">
        <f t="shared" si="17"/>
        <v>0.21276595744680854</v>
      </c>
      <c r="D86" s="3">
        <f t="shared" si="18"/>
        <v>0.16588820823743711</v>
      </c>
      <c r="E86" s="16">
        <f t="shared" si="19"/>
        <v>8.686215931337829E-2</v>
      </c>
      <c r="F86" s="4">
        <f t="shared" si="20"/>
        <v>8.6644683648588017E-2</v>
      </c>
      <c r="G86" s="4">
        <f t="shared" si="21"/>
        <v>2.0095929018476042E-2</v>
      </c>
      <c r="H86" s="4">
        <v>15</v>
      </c>
      <c r="I86" s="4">
        <f t="shared" si="22"/>
        <v>69.999999999999972</v>
      </c>
      <c r="J86" s="4">
        <f t="shared" si="23"/>
        <v>5.2249415448037713</v>
      </c>
      <c r="K86" s="4">
        <f t="shared" si="13"/>
        <v>20.899766179215085</v>
      </c>
      <c r="L86" s="4">
        <v>30000</v>
      </c>
      <c r="M86" s="11">
        <v>2.1000000000000001E-2</v>
      </c>
      <c r="N86" s="11">
        <v>0.1</v>
      </c>
      <c r="O86" s="3">
        <f t="shared" si="14"/>
        <v>6.9665887264050283E-3</v>
      </c>
      <c r="P86" s="3">
        <f t="shared" si="15"/>
        <v>0.12188043739179005</v>
      </c>
      <c r="Q86" s="11">
        <v>1</v>
      </c>
      <c r="R86" s="3">
        <f t="shared" si="10"/>
        <v>6.9665887264050283E-3</v>
      </c>
    </row>
    <row r="87" spans="1:18">
      <c r="A87" s="23">
        <f t="shared" si="11"/>
        <v>4.7999999999999989</v>
      </c>
      <c r="B87" s="15">
        <f t="shared" si="16"/>
        <v>0.20833333333333337</v>
      </c>
      <c r="C87" s="4">
        <f t="shared" si="17"/>
        <v>0.20833333333333337</v>
      </c>
      <c r="D87" s="3">
        <f t="shared" si="18"/>
        <v>0.15960614315689151</v>
      </c>
      <c r="E87" s="16">
        <f t="shared" si="19"/>
        <v>8.3411326562983112E-2</v>
      </c>
      <c r="F87" s="4">
        <f t="shared" si="20"/>
        <v>8.3218686733652722E-2</v>
      </c>
      <c r="G87" s="4">
        <f t="shared" si="21"/>
        <v>1.9323385991264364E-2</v>
      </c>
      <c r="H87" s="4">
        <v>15</v>
      </c>
      <c r="I87" s="4">
        <f t="shared" si="22"/>
        <v>71.499999999999972</v>
      </c>
      <c r="J87" s="4">
        <f t="shared" si="23"/>
        <v>5.0240803577287343</v>
      </c>
      <c r="K87" s="4">
        <f t="shared" si="13"/>
        <v>20.096321430914937</v>
      </c>
      <c r="L87" s="4">
        <v>30000</v>
      </c>
      <c r="M87" s="11">
        <v>2.1000000000000001E-2</v>
      </c>
      <c r="N87" s="11">
        <v>0.1</v>
      </c>
      <c r="O87" s="3">
        <f t="shared" si="14"/>
        <v>6.6987738103049792E-3</v>
      </c>
      <c r="P87" s="3">
        <f t="shared" si="15"/>
        <v>0.12576355222220192</v>
      </c>
      <c r="Q87" s="11">
        <v>1</v>
      </c>
      <c r="R87" s="3">
        <f t="shared" si="10"/>
        <v>6.6987738103049792E-3</v>
      </c>
    </row>
    <row r="88" spans="1:18">
      <c r="A88" s="23">
        <f t="shared" si="11"/>
        <v>4.8999999999999986</v>
      </c>
      <c r="B88" s="15">
        <f t="shared" si="16"/>
        <v>0.20408163265306128</v>
      </c>
      <c r="C88" s="4">
        <f t="shared" si="17"/>
        <v>0.20408163265306128</v>
      </c>
      <c r="D88" s="3">
        <f t="shared" si="18"/>
        <v>0.15366402458624401</v>
      </c>
      <c r="E88" s="16">
        <f t="shared" si="19"/>
        <v>8.0160372067302033E-2</v>
      </c>
      <c r="F88" s="4">
        <f t="shared" si="20"/>
        <v>7.9989335892602167E-2</v>
      </c>
      <c r="G88" s="4">
        <f t="shared" si="21"/>
        <v>1.8593543645120433E-2</v>
      </c>
      <c r="H88" s="4">
        <v>15</v>
      </c>
      <c r="I88" s="4">
        <f t="shared" si="22"/>
        <v>72.999999999999972</v>
      </c>
      <c r="J88" s="4">
        <f t="shared" si="23"/>
        <v>4.8343213477313123</v>
      </c>
      <c r="K88" s="4">
        <f t="shared" si="13"/>
        <v>19.337285390925249</v>
      </c>
      <c r="L88" s="4">
        <v>30000</v>
      </c>
      <c r="M88" s="11">
        <v>2.1000000000000001E-2</v>
      </c>
      <c r="N88" s="11">
        <v>0.1</v>
      </c>
      <c r="O88" s="3">
        <f t="shared" si="14"/>
        <v>6.4457617969750827E-3</v>
      </c>
      <c r="P88" s="3">
        <f t="shared" si="15"/>
        <v>0.12962375919856289</v>
      </c>
      <c r="Q88" s="11">
        <v>1</v>
      </c>
      <c r="R88" s="3">
        <f t="shared" si="10"/>
        <v>6.4457617969750827E-3</v>
      </c>
    </row>
    <row r="89" spans="1:18">
      <c r="A89" s="23">
        <f t="shared" si="11"/>
        <v>4.9999999999999982</v>
      </c>
      <c r="B89" s="15">
        <f t="shared" si="16"/>
        <v>0.20000000000000007</v>
      </c>
      <c r="C89" s="4">
        <f t="shared" si="17"/>
        <v>0.20000000000000007</v>
      </c>
      <c r="D89" s="3">
        <f t="shared" si="18"/>
        <v>0.14803853056144259</v>
      </c>
      <c r="E89" s="16">
        <f t="shared" si="19"/>
        <v>7.709424959505394E-2</v>
      </c>
      <c r="F89" s="4">
        <f t="shared" si="20"/>
        <v>7.6942054814656699E-2</v>
      </c>
      <c r="G89" s="4">
        <f t="shared" si="21"/>
        <v>1.790338613115719E-2</v>
      </c>
      <c r="H89" s="4">
        <v>15</v>
      </c>
      <c r="I89" s="4">
        <f t="shared" si="22"/>
        <v>74.499999999999972</v>
      </c>
      <c r="J89" s="4">
        <f t="shared" si="23"/>
        <v>4.6548803941008696</v>
      </c>
      <c r="K89" s="4">
        <f t="shared" si="13"/>
        <v>18.619521576403478</v>
      </c>
      <c r="L89" s="4">
        <v>30000</v>
      </c>
      <c r="M89" s="11">
        <v>2.1000000000000001E-2</v>
      </c>
      <c r="N89" s="11">
        <v>0.1</v>
      </c>
      <c r="O89" s="3">
        <f t="shared" si="14"/>
        <v>6.2065071921344932E-3</v>
      </c>
      <c r="P89" s="3">
        <f t="shared" si="15"/>
        <v>0.13345924167773526</v>
      </c>
      <c r="Q89" s="11">
        <v>1</v>
      </c>
      <c r="R89" s="3">
        <f t="shared" si="10"/>
        <v>6.2065071921344932E-3</v>
      </c>
    </row>
    <row r="90" spans="1:18">
      <c r="A90" s="23">
        <f t="shared" si="11"/>
        <v>5.0999999999999979</v>
      </c>
      <c r="B90" s="15">
        <f t="shared" si="16"/>
        <v>0.1960784313725491</v>
      </c>
      <c r="C90" s="4">
        <f t="shared" si="17"/>
        <v>0.1960784313725491</v>
      </c>
      <c r="D90" s="3">
        <f t="shared" si="18"/>
        <v>0.14270823301560323</v>
      </c>
      <c r="E90" s="16">
        <f t="shared" si="19"/>
        <v>7.4199297027598837E-2</v>
      </c>
      <c r="F90" s="4">
        <f t="shared" si="20"/>
        <v>7.4063576117031238E-2</v>
      </c>
      <c r="G90" s="4">
        <f t="shared" si="21"/>
        <v>1.7250152473215818E-2</v>
      </c>
      <c r="H90" s="4">
        <v>15</v>
      </c>
      <c r="I90" s="4">
        <f t="shared" si="22"/>
        <v>75.999999999999972</v>
      </c>
      <c r="J90" s="4">
        <f t="shared" si="23"/>
        <v>4.4850396430361128</v>
      </c>
      <c r="K90" s="4">
        <f t="shared" si="13"/>
        <v>17.940158572144451</v>
      </c>
      <c r="L90" s="4">
        <v>30000</v>
      </c>
      <c r="M90" s="11">
        <v>2.1000000000000001E-2</v>
      </c>
      <c r="N90" s="11">
        <v>0.1</v>
      </c>
      <c r="O90" s="3">
        <f t="shared" si="14"/>
        <v>5.980052857381484E-3</v>
      </c>
      <c r="P90" s="3">
        <f t="shared" si="15"/>
        <v>0.13726841128837217</v>
      </c>
      <c r="Q90" s="11">
        <v>1</v>
      </c>
      <c r="R90" s="3">
        <f t="shared" si="10"/>
        <v>5.980052857381484E-3</v>
      </c>
    </row>
    <row r="91" spans="1:18">
      <c r="A91" s="23">
        <f t="shared" si="11"/>
        <v>5.1999999999999975</v>
      </c>
      <c r="B91" s="15">
        <f t="shared" si="16"/>
        <v>0.1923076923076924</v>
      </c>
      <c r="C91" s="4">
        <f t="shared" si="17"/>
        <v>0.1923076923076924</v>
      </c>
      <c r="D91" s="3">
        <f t="shared" si="18"/>
        <v>0.13765342435560171</v>
      </c>
      <c r="E91" s="16">
        <f t="shared" si="19"/>
        <v>7.1463086521907498E-2</v>
      </c>
      <c r="F91" s="4">
        <f t="shared" si="20"/>
        <v>7.1341804590863062E-2</v>
      </c>
      <c r="G91" s="4">
        <f t="shared" si="21"/>
        <v>1.6631311884726118E-2</v>
      </c>
      <c r="H91" s="4">
        <v>15</v>
      </c>
      <c r="I91" s="4">
        <f t="shared" si="22"/>
        <v>77.499999999999972</v>
      </c>
      <c r="J91" s="4">
        <f t="shared" si="23"/>
        <v>4.3241410900287907</v>
      </c>
      <c r="K91" s="4">
        <f t="shared" si="13"/>
        <v>17.296564360115163</v>
      </c>
      <c r="L91" s="4">
        <v>30000</v>
      </c>
      <c r="M91" s="11">
        <v>2.1000000000000001E-2</v>
      </c>
      <c r="N91" s="11">
        <v>0.1</v>
      </c>
      <c r="O91" s="3">
        <f t="shared" si="14"/>
        <v>5.7655214533717204E-3</v>
      </c>
      <c r="P91" s="3">
        <f t="shared" si="15"/>
        <v>0.14104988875496854</v>
      </c>
      <c r="Q91" s="11">
        <v>1</v>
      </c>
      <c r="R91" s="3">
        <f t="shared" si="10"/>
        <v>5.7655214533717204E-3</v>
      </c>
    </row>
    <row r="92" spans="1:18">
      <c r="A92" s="23">
        <f t="shared" si="11"/>
        <v>5.2999999999999972</v>
      </c>
      <c r="B92" s="15">
        <f t="shared" si="16"/>
        <v>0.18867924528301896</v>
      </c>
      <c r="C92" s="4">
        <f t="shared" si="17"/>
        <v>0.18867924528301896</v>
      </c>
      <c r="D92" s="3">
        <f t="shared" si="18"/>
        <v>0.13285596119643034</v>
      </c>
      <c r="E92" s="16">
        <f t="shared" si="19"/>
        <v>6.8874293291192934E-2</v>
      </c>
      <c r="F92" s="4">
        <f t="shared" si="20"/>
        <v>6.8765696611956945E-2</v>
      </c>
      <c r="G92" s="4">
        <f t="shared" si="21"/>
        <v>1.6044541737293735E-2</v>
      </c>
      <c r="H92" s="4">
        <v>15</v>
      </c>
      <c r="I92" s="4">
        <f t="shared" si="22"/>
        <v>78.999999999999972</v>
      </c>
      <c r="J92" s="4">
        <f t="shared" si="23"/>
        <v>4.1715808516963708</v>
      </c>
      <c r="K92" s="4">
        <f t="shared" si="13"/>
        <v>16.686323406785483</v>
      </c>
      <c r="L92" s="4">
        <v>30000</v>
      </c>
      <c r="M92" s="11">
        <v>2.1000000000000001E-2</v>
      </c>
      <c r="N92" s="11">
        <v>0.1</v>
      </c>
      <c r="O92" s="3">
        <f t="shared" si="14"/>
        <v>5.5621078022618274E-3</v>
      </c>
      <c r="P92" s="3">
        <f t="shared" si="15"/>
        <v>0.14480248577572175</v>
      </c>
      <c r="Q92" s="11">
        <v>1</v>
      </c>
      <c r="R92" s="3">
        <f t="shared" si="10"/>
        <v>5.5621078022618274E-3</v>
      </c>
    </row>
    <row r="93" spans="1:18">
      <c r="A93" s="23">
        <f t="shared" si="11"/>
        <v>5.3999999999999968</v>
      </c>
      <c r="B93" s="15">
        <f t="shared" si="16"/>
        <v>0.18518518518518529</v>
      </c>
      <c r="C93" s="4">
        <f t="shared" si="17"/>
        <v>0.18518518518518529</v>
      </c>
      <c r="D93" s="3">
        <f t="shared" si="18"/>
        <v>0.1282991235099504</v>
      </c>
      <c r="E93" s="16">
        <f t="shared" si="19"/>
        <v>6.64225803939823E-2</v>
      </c>
      <c r="F93" s="4">
        <f t="shared" si="20"/>
        <v>6.6325153598812137E-2</v>
      </c>
      <c r="G93" s="4">
        <f t="shared" si="21"/>
        <v>1.5487707873773186E-2</v>
      </c>
      <c r="H93" s="4">
        <v>15</v>
      </c>
      <c r="I93" s="4">
        <f t="shared" si="22"/>
        <v>80.499999999999972</v>
      </c>
      <c r="J93" s="4">
        <f t="shared" si="23"/>
        <v>4.0268040471810282</v>
      </c>
      <c r="K93" s="4">
        <f t="shared" si="13"/>
        <v>16.107216188724113</v>
      </c>
      <c r="L93" s="4">
        <v>30000</v>
      </c>
      <c r="M93" s="11">
        <v>2.1000000000000001E-2</v>
      </c>
      <c r="N93" s="11">
        <v>0.1</v>
      </c>
      <c r="O93" s="3">
        <f t="shared" si="14"/>
        <v>5.3690720629080372E-3</v>
      </c>
      <c r="P93" s="3">
        <f t="shared" si="15"/>
        <v>0.14852518800008679</v>
      </c>
      <c r="Q93" s="11">
        <v>1</v>
      </c>
      <c r="R93" s="3">
        <f t="shared" si="10"/>
        <v>5.3690720629080372E-3</v>
      </c>
    </row>
    <row r="94" spans="1:18">
      <c r="A94" s="23">
        <f t="shared" si="11"/>
        <v>5.4999999999999964</v>
      </c>
      <c r="B94" s="15">
        <f t="shared" si="16"/>
        <v>0.18181818181818193</v>
      </c>
      <c r="C94" s="4">
        <f t="shared" si="17"/>
        <v>0.18181818181818193</v>
      </c>
      <c r="D94" s="3">
        <f t="shared" si="18"/>
        <v>0.12396748761064799</v>
      </c>
      <c r="E94" s="16">
        <f t="shared" si="19"/>
        <v>6.4098497329625415E-2</v>
      </c>
      <c r="F94" s="4">
        <f t="shared" si="20"/>
        <v>6.4010927702901496E-2</v>
      </c>
      <c r="G94" s="4">
        <f t="shared" si="21"/>
        <v>1.4958846995866318E-2</v>
      </c>
      <c r="H94" s="4">
        <v>15</v>
      </c>
      <c r="I94" s="4">
        <f t="shared" si="22"/>
        <v>81.999999999999972</v>
      </c>
      <c r="J94" s="4">
        <f t="shared" si="23"/>
        <v>3.8893002189252428</v>
      </c>
      <c r="K94" s="4">
        <f t="shared" si="13"/>
        <v>15.557200875700971</v>
      </c>
      <c r="L94" s="4">
        <v>30000</v>
      </c>
      <c r="M94" s="11">
        <v>2.1000000000000001E-2</v>
      </c>
      <c r="N94" s="11">
        <v>0.1</v>
      </c>
      <c r="O94" s="3">
        <f t="shared" si="14"/>
        <v>5.185733625233657E-3</v>
      </c>
      <c r="P94" s="3">
        <f t="shared" si="15"/>
        <v>0.15221713912278725</v>
      </c>
      <c r="Q94" s="11">
        <v>1</v>
      </c>
      <c r="R94" s="3">
        <f t="shared" si="10"/>
        <v>5.185733625233657E-3</v>
      </c>
    </row>
    <row r="95" spans="1:18">
      <c r="A95" s="23">
        <f t="shared" si="11"/>
        <v>5.5999999999999961</v>
      </c>
      <c r="B95" s="15">
        <f t="shared" ref="B95:B104" si="24">$B$10/A95</f>
        <v>0.17857142857142869</v>
      </c>
      <c r="C95" s="4">
        <f t="shared" ref="C95:C104" si="25">$B$9/A95</f>
        <v>0.17857142857142869</v>
      </c>
      <c r="D95" s="3">
        <f t="shared" ref="D95:D104" si="26">2*C95*B95*SQRT(B95^2+C95^2+1)*(B95^2+C95^2+2)/((C95^2+B95^2+B95^2*C95^2+1)*(C95^2+B95^2+1))</f>
        <v>0.11984681155626975</v>
      </c>
      <c r="E95" s="16">
        <f t="shared" ref="E95:E104" si="27">((2*B95*C95*SQRT(B95^2+C95^2+1)/(B95^2+C95^2-C95^2 *B95^2+1)))</f>
        <v>6.1893390575374213E-2</v>
      </c>
      <c r="F95" s="4">
        <f t="shared" ref="F95:F104" si="28">IF(E95&lt;0,ATAN(E95)+PI(),ATAN(E95))</f>
        <v>6.1814538172165145E-2</v>
      </c>
      <c r="G95" s="4">
        <f t="shared" ref="G95:G104" si="29">(D95+F95)/(4*PI())</f>
        <v>1.4456150889012977E-2</v>
      </c>
      <c r="H95" s="4">
        <v>15</v>
      </c>
      <c r="I95" s="4">
        <f t="shared" ref="I95:I104" si="30">I94+(A95-A94)*H95</f>
        <v>83.499999999999972</v>
      </c>
      <c r="J95" s="4">
        <f t="shared" ref="J95:J104" si="31">G95*$B$14</f>
        <v>3.758599231143374</v>
      </c>
      <c r="K95" s="4">
        <f t="shared" si="13"/>
        <v>15.034396924573496</v>
      </c>
      <c r="L95" s="4">
        <v>30000</v>
      </c>
      <c r="M95" s="11">
        <v>2.1000000000000001E-2</v>
      </c>
      <c r="N95" s="11">
        <v>0.1</v>
      </c>
      <c r="O95" s="3">
        <f t="shared" si="14"/>
        <v>5.011465641524499E-3</v>
      </c>
      <c r="P95" s="3">
        <f t="shared" si="15"/>
        <v>0.15587762608838032</v>
      </c>
      <c r="Q95" s="11">
        <v>1</v>
      </c>
      <c r="R95" s="3">
        <f t="shared" si="10"/>
        <v>5.011465641524499E-3</v>
      </c>
    </row>
    <row r="96" spans="1:18">
      <c r="A96" s="23">
        <f t="shared" si="11"/>
        <v>5.6999999999999957</v>
      </c>
      <c r="B96" s="15">
        <f t="shared" si="24"/>
        <v>0.1754385964912282</v>
      </c>
      <c r="C96" s="4">
        <f t="shared" si="25"/>
        <v>0.1754385964912282</v>
      </c>
      <c r="D96" s="3">
        <f t="shared" si="26"/>
        <v>0.11592393168469822</v>
      </c>
      <c r="E96" s="16">
        <f t="shared" si="27"/>
        <v>5.9799324480417936E-2</v>
      </c>
      <c r="F96" s="4">
        <f t="shared" si="28"/>
        <v>5.9728197045770502E-2</v>
      </c>
      <c r="G96" s="4">
        <f t="shared" si="29"/>
        <v>1.3977952276034013E-2</v>
      </c>
      <c r="H96" s="4">
        <v>15</v>
      </c>
      <c r="I96" s="4">
        <f t="shared" si="30"/>
        <v>84.999999999999972</v>
      </c>
      <c r="J96" s="4">
        <f t="shared" si="31"/>
        <v>3.6342675917688436</v>
      </c>
      <c r="K96" s="4">
        <f t="shared" si="13"/>
        <v>14.537070367075374</v>
      </c>
      <c r="L96" s="4">
        <v>30000</v>
      </c>
      <c r="M96" s="11">
        <v>2.1000000000000001E-2</v>
      </c>
      <c r="N96" s="11">
        <v>0.1</v>
      </c>
      <c r="O96" s="3">
        <f t="shared" si="14"/>
        <v>4.8456901223584582E-3</v>
      </c>
      <c r="P96" s="3">
        <f t="shared" si="15"/>
        <v>0.15950606538323678</v>
      </c>
      <c r="Q96" s="11">
        <v>1</v>
      </c>
      <c r="R96" s="3">
        <f t="shared" si="10"/>
        <v>4.8456901223584582E-3</v>
      </c>
    </row>
    <row r="97" spans="1:18">
      <c r="A97" s="23">
        <f t="shared" si="11"/>
        <v>5.7999999999999954</v>
      </c>
      <c r="B97" s="15">
        <f t="shared" si="24"/>
        <v>0.17241379310344843</v>
      </c>
      <c r="C97" s="4">
        <f t="shared" si="25"/>
        <v>0.17241379310344843</v>
      </c>
      <c r="D97" s="3">
        <f t="shared" si="26"/>
        <v>0.11218666913978907</v>
      </c>
      <c r="E97" s="16">
        <f t="shared" si="27"/>
        <v>5.7809011166115996E-2</v>
      </c>
      <c r="F97" s="4">
        <f t="shared" si="28"/>
        <v>5.7744743022679908E-2</v>
      </c>
      <c r="G97" s="4">
        <f t="shared" si="29"/>
        <v>1.3522712116121582E-2</v>
      </c>
      <c r="H97" s="4">
        <v>15</v>
      </c>
      <c r="I97" s="4">
        <f t="shared" si="30"/>
        <v>86.499999999999972</v>
      </c>
      <c r="J97" s="4">
        <f t="shared" si="31"/>
        <v>3.5159051501916112</v>
      </c>
      <c r="K97" s="4">
        <f t="shared" si="13"/>
        <v>14.063620600766445</v>
      </c>
      <c r="L97" s="4">
        <v>30000</v>
      </c>
      <c r="M97" s="11">
        <v>2.1000000000000001E-2</v>
      </c>
      <c r="N97" s="11">
        <v>0.1</v>
      </c>
      <c r="O97" s="3">
        <f t="shared" si="14"/>
        <v>4.687873533588815E-3</v>
      </c>
      <c r="P97" s="3">
        <f t="shared" si="15"/>
        <v>0.16310199037905979</v>
      </c>
      <c r="Q97" s="11">
        <v>1</v>
      </c>
      <c r="R97" s="3">
        <f t="shared" si="10"/>
        <v>4.687873533588815E-3</v>
      </c>
    </row>
    <row r="98" spans="1:18">
      <c r="A98" s="23">
        <f t="shared" si="11"/>
        <v>5.899999999999995</v>
      </c>
      <c r="B98" s="15">
        <f t="shared" si="24"/>
        <v>0.16949152542372894</v>
      </c>
      <c r="C98" s="4">
        <f t="shared" si="25"/>
        <v>0.16949152542372894</v>
      </c>
      <c r="D98" s="3">
        <f t="shared" si="26"/>
        <v>0.10862374535833498</v>
      </c>
      <c r="E98" s="16">
        <f t="shared" si="27"/>
        <v>5.5915748277525892E-2</v>
      </c>
      <c r="F98" s="4">
        <f t="shared" si="28"/>
        <v>5.5857582503674945E-2</v>
      </c>
      <c r="G98" s="4">
        <f t="shared" si="29"/>
        <v>1.3089008187778785E-2</v>
      </c>
      <c r="H98" s="4">
        <v>15</v>
      </c>
      <c r="I98" s="4">
        <f t="shared" si="30"/>
        <v>87.999999999999972</v>
      </c>
      <c r="J98" s="4">
        <f t="shared" si="31"/>
        <v>3.4031421288224841</v>
      </c>
      <c r="K98" s="4">
        <f t="shared" si="13"/>
        <v>13.612568515289936</v>
      </c>
      <c r="L98" s="4">
        <v>30000</v>
      </c>
      <c r="M98" s="11">
        <v>2.1000000000000001E-2</v>
      </c>
      <c r="N98" s="11">
        <v>0.1</v>
      </c>
      <c r="O98" s="3">
        <f t="shared" si="14"/>
        <v>4.5375228384299787E-3</v>
      </c>
      <c r="P98" s="3">
        <f t="shared" si="15"/>
        <v>0.16666503968301533</v>
      </c>
      <c r="Q98" s="11">
        <v>1</v>
      </c>
      <c r="R98" s="3">
        <f t="shared" si="10"/>
        <v>4.5375228384299787E-3</v>
      </c>
    </row>
    <row r="99" spans="1:18">
      <c r="A99" s="23">
        <f t="shared" si="11"/>
        <v>5.9999999999999947</v>
      </c>
      <c r="B99" s="15">
        <f t="shared" si="24"/>
        <v>0.16666666666666682</v>
      </c>
      <c r="C99" s="4">
        <f t="shared" si="25"/>
        <v>0.16666666666666682</v>
      </c>
      <c r="D99" s="3">
        <f t="shared" si="26"/>
        <v>0.10522470559833266</v>
      </c>
      <c r="E99" s="16">
        <f t="shared" si="27"/>
        <v>5.4113363595923822E-2</v>
      </c>
      <c r="F99" s="4">
        <f t="shared" si="28"/>
        <v>5.4060636940556954E-2</v>
      </c>
      <c r="G99" s="4">
        <f t="shared" si="29"/>
        <v>1.2675524813575017E-2</v>
      </c>
      <c r="H99" s="4">
        <v>15</v>
      </c>
      <c r="I99" s="4">
        <f t="shared" si="30"/>
        <v>89.499999999999972</v>
      </c>
      <c r="J99" s="4">
        <f t="shared" si="31"/>
        <v>3.2956364515295045</v>
      </c>
      <c r="K99" s="4">
        <f t="shared" si="13"/>
        <v>13.182545806118018</v>
      </c>
      <c r="L99" s="4">
        <v>30000</v>
      </c>
      <c r="M99" s="11">
        <v>2.1000000000000001E-2</v>
      </c>
      <c r="N99" s="11">
        <v>0.1</v>
      </c>
      <c r="O99" s="3">
        <f t="shared" si="14"/>
        <v>4.3941819353726722E-3</v>
      </c>
      <c r="P99" s="3">
        <f t="shared" si="15"/>
        <v>0.17019494644347116</v>
      </c>
      <c r="Q99" s="11">
        <v>1</v>
      </c>
      <c r="R99" s="3">
        <f t="shared" si="10"/>
        <v>4.3941819353726722E-3</v>
      </c>
    </row>
    <row r="100" spans="1:18">
      <c r="A100" s="23">
        <f t="shared" si="11"/>
        <v>6.0999999999999943</v>
      </c>
      <c r="B100" s="15">
        <f t="shared" si="24"/>
        <v>0.16393442622950835</v>
      </c>
      <c r="C100" s="4">
        <f t="shared" si="25"/>
        <v>0.16393442622950835</v>
      </c>
      <c r="D100" s="3">
        <f t="shared" si="26"/>
        <v>0.10197984968601227</v>
      </c>
      <c r="E100" s="16">
        <f t="shared" si="27"/>
        <v>5.239616566080444E-2</v>
      </c>
      <c r="F100" s="4">
        <f t="shared" si="28"/>
        <v>5.2348295740882629E-2</v>
      </c>
      <c r="G100" s="4">
        <f t="shared" si="29"/>
        <v>1.2281043601447604E-2</v>
      </c>
      <c r="H100" s="4">
        <v>15</v>
      </c>
      <c r="I100" s="4">
        <f t="shared" si="30"/>
        <v>90.999999999999972</v>
      </c>
      <c r="J100" s="4">
        <f t="shared" si="31"/>
        <v>3.1930713363763767</v>
      </c>
      <c r="K100" s="4">
        <f t="shared" si="13"/>
        <v>12.772285345505507</v>
      </c>
      <c r="L100" s="4">
        <v>30000</v>
      </c>
      <c r="M100" s="11">
        <v>2.1000000000000001E-2</v>
      </c>
      <c r="N100" s="11">
        <v>0.1</v>
      </c>
      <c r="O100" s="3">
        <f t="shared" si="14"/>
        <v>4.2574284485018361E-3</v>
      </c>
      <c r="P100" s="3">
        <f t="shared" si="15"/>
        <v>0.17369152855664743</v>
      </c>
      <c r="Q100" s="11">
        <v>1</v>
      </c>
      <c r="R100" s="3">
        <f t="shared" si="10"/>
        <v>4.2574284485018361E-3</v>
      </c>
    </row>
    <row r="101" spans="1:18">
      <c r="A101" s="23">
        <f t="shared" si="11"/>
        <v>6.199999999999994</v>
      </c>
      <c r="B101" s="15">
        <f t="shared" si="24"/>
        <v>0.16129032258064532</v>
      </c>
      <c r="C101" s="4">
        <f t="shared" si="25"/>
        <v>0.16129032258064532</v>
      </c>
      <c r="D101" s="3">
        <f t="shared" si="26"/>
        <v>9.8880169246428215E-2</v>
      </c>
      <c r="E101" s="16">
        <f t="shared" si="27"/>
        <v>5.0758899667244617E-2</v>
      </c>
      <c r="F101" s="4">
        <f t="shared" si="28"/>
        <v>5.0715374074820234E-2</v>
      </c>
      <c r="G101" s="4">
        <f t="shared" si="29"/>
        <v>1.1904435092047231E-2</v>
      </c>
      <c r="H101" s="4">
        <v>15</v>
      </c>
      <c r="I101" s="4">
        <f t="shared" si="30"/>
        <v>92.499999999999972</v>
      </c>
      <c r="J101" s="4">
        <f t="shared" si="31"/>
        <v>3.0951531239322798</v>
      </c>
      <c r="K101" s="4">
        <f t="shared" si="13"/>
        <v>12.380612495729119</v>
      </c>
      <c r="L101" s="4">
        <v>30000</v>
      </c>
      <c r="M101" s="11">
        <v>2.1000000000000001E-2</v>
      </c>
      <c r="N101" s="11">
        <v>0.1</v>
      </c>
      <c r="O101" s="3">
        <f t="shared" si="14"/>
        <v>4.1268708319097064E-3</v>
      </c>
      <c r="P101" s="3">
        <f t="shared" si="15"/>
        <v>0.17715467971764787</v>
      </c>
      <c r="Q101" s="11">
        <v>1</v>
      </c>
      <c r="R101" s="3">
        <f t="shared" si="10"/>
        <v>4.1268708319097064E-3</v>
      </c>
    </row>
    <row r="102" spans="1:18">
      <c r="A102" s="23">
        <f t="shared" si="11"/>
        <v>6.2999999999999936</v>
      </c>
      <c r="B102" s="15">
        <f t="shared" si="24"/>
        <v>0.15873015873015889</v>
      </c>
      <c r="C102" s="4">
        <f t="shared" si="25"/>
        <v>0.15873015873015889</v>
      </c>
      <c r="D102" s="3">
        <f t="shared" si="26"/>
        <v>9.5917290760625426E-2</v>
      </c>
      <c r="E102" s="16">
        <f t="shared" si="27"/>
        <v>4.9196708004115269E-2</v>
      </c>
      <c r="F102" s="4">
        <f t="shared" si="28"/>
        <v>4.9157075015035051E-2</v>
      </c>
      <c r="G102" s="4">
        <f t="shared" si="29"/>
        <v>1.1544651214559025E-2</v>
      </c>
      <c r="H102" s="4">
        <v>15</v>
      </c>
      <c r="I102" s="4">
        <f t="shared" si="30"/>
        <v>93.999999999999972</v>
      </c>
      <c r="J102" s="4">
        <f t="shared" si="31"/>
        <v>3.0016093157853465</v>
      </c>
      <c r="K102" s="4">
        <f t="shared" si="13"/>
        <v>12.006437263141386</v>
      </c>
      <c r="L102" s="4">
        <v>30000</v>
      </c>
      <c r="M102" s="11">
        <v>2.1000000000000001E-2</v>
      </c>
      <c r="N102" s="11">
        <v>0.1</v>
      </c>
      <c r="O102" s="3">
        <f t="shared" si="14"/>
        <v>4.0021457543804621E-3</v>
      </c>
      <c r="P102" s="3">
        <f t="shared" si="15"/>
        <v>0.1805843612589616</v>
      </c>
      <c r="Q102" s="11">
        <v>1</v>
      </c>
      <c r="R102" s="3">
        <f t="shared" si="10"/>
        <v>4.0021457543804621E-3</v>
      </c>
    </row>
    <row r="103" spans="1:18">
      <c r="A103" s="23">
        <f t="shared" si="11"/>
        <v>6.3999999999999932</v>
      </c>
      <c r="B103" s="15">
        <f t="shared" si="24"/>
        <v>0.15625000000000017</v>
      </c>
      <c r="C103" s="4">
        <f t="shared" si="25"/>
        <v>0.15625000000000017</v>
      </c>
      <c r="D103" s="3">
        <f t="shared" si="26"/>
        <v>9.3083423862322934E-2</v>
      </c>
      <c r="E103" s="16">
        <f t="shared" si="27"/>
        <v>4.7705094883375189E-2</v>
      </c>
      <c r="F103" s="4">
        <f t="shared" si="28"/>
        <v>4.7668955513048727E-2</v>
      </c>
      <c r="G103" s="4">
        <f t="shared" si="29"/>
        <v>1.120071846476807E-2</v>
      </c>
      <c r="H103" s="4">
        <v>15</v>
      </c>
      <c r="I103" s="4">
        <f t="shared" si="30"/>
        <v>95.499999999999972</v>
      </c>
      <c r="J103" s="4">
        <f t="shared" si="31"/>
        <v>2.9121868008396983</v>
      </c>
      <c r="K103" s="4">
        <f t="shared" si="13"/>
        <v>11.648747203358793</v>
      </c>
      <c r="L103" s="4">
        <v>30000</v>
      </c>
      <c r="M103" s="11">
        <v>2.1000000000000001E-2</v>
      </c>
      <c r="N103" s="11">
        <v>0.1</v>
      </c>
      <c r="O103" s="3">
        <f t="shared" si="14"/>
        <v>3.882915734452931E-3</v>
      </c>
      <c r="P103" s="3">
        <f t="shared" si="15"/>
        <v>0.18398059472023096</v>
      </c>
      <c r="Q103" s="11">
        <v>1</v>
      </c>
      <c r="R103" s="3">
        <f t="shared" si="10"/>
        <v>3.882915734452931E-3</v>
      </c>
    </row>
    <row r="104" spans="1:18">
      <c r="A104" s="23">
        <f t="shared" si="11"/>
        <v>6.4999999999999929</v>
      </c>
      <c r="B104" s="15">
        <f t="shared" si="24"/>
        <v>0.15384615384615402</v>
      </c>
      <c r="C104" s="4">
        <f t="shared" si="25"/>
        <v>0.15384615384615402</v>
      </c>
      <c r="D104" s="3">
        <f t="shared" si="26"/>
        <v>9.0371314349473264E-2</v>
      </c>
      <c r="E104" s="16">
        <f t="shared" si="27"/>
        <v>4.6279894582988604E-2</v>
      </c>
      <c r="F104" s="4">
        <f t="shared" si="28"/>
        <v>4.6246895778026036E-2</v>
      </c>
      <c r="G104" s="4">
        <f t="shared" si="29"/>
        <v>1.0871731729079376E-2</v>
      </c>
      <c r="H104" s="4">
        <v>15</v>
      </c>
      <c r="I104" s="4">
        <f t="shared" si="30"/>
        <v>96.999999999999972</v>
      </c>
      <c r="J104" s="4">
        <f t="shared" si="31"/>
        <v>2.8266502495606378</v>
      </c>
      <c r="K104" s="4">
        <f t="shared" ref="K104" si="32">4*J104</f>
        <v>11.306600998242551</v>
      </c>
      <c r="L104" s="4">
        <v>30000</v>
      </c>
      <c r="M104" s="11">
        <v>2.1000000000000001E-2</v>
      </c>
      <c r="N104" s="11">
        <v>0.1</v>
      </c>
      <c r="O104" s="3">
        <f t="shared" ref="O104" si="33">100*$B$12*K104/L104</f>
        <v>3.7688669994141838E-3</v>
      </c>
      <c r="P104" s="3">
        <f t="shared" ref="P104" si="34">(M104/(1+N104))*$B$12*LOG10((I104+K104)/K104)*100</f>
        <v>0.18734345509460582</v>
      </c>
      <c r="Q104" s="11">
        <v>1</v>
      </c>
      <c r="R104" s="3">
        <f t="shared" si="10"/>
        <v>3.7688669994141838E-3</v>
      </c>
    </row>
    <row r="105" spans="1:18">
      <c r="A105" s="23"/>
    </row>
  </sheetData>
  <mergeCells count="5">
    <mergeCell ref="J36:K36"/>
    <mergeCell ref="H38:I38"/>
    <mergeCell ref="M38:N38"/>
    <mergeCell ref="L37:N37"/>
    <mergeCell ref="J37:K37"/>
  </mergeCells>
  <dataValidations count="1">
    <dataValidation type="whole" allowBlank="1" showInputMessage="1" showErrorMessage="1" errorTitle="Dato Erróneo" error="Los datos son :_x000a_1 para asientos elásticos_x000a_2 para asientos de consolidación_x000a_" sqref="Q40:Q104" xr:uid="{9131349D-D342-4636-A2FA-D27C8AF21B8E}">
      <formula1>1</formula1>
      <formula2>2</formula2>
    </dataValidation>
  </dataValidations>
  <printOptions headings="1"/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5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Asientos Carga Rectangular</vt:lpstr>
      <vt:lpstr>'Asientos Carga Rectangular'!Área_de_impresión</vt:lpstr>
      <vt:lpstr>'Asientos Carga Rectangular'!Títulos_a_imprimir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lastModifiedBy>Germán López Pineda</cp:lastModifiedBy>
  <cp:lastPrinted>2023-05-17T13:43:33Z</cp:lastPrinted>
  <dcterms:created xsi:type="dcterms:W3CDTF">2017-02-03T09:37:45Z</dcterms:created>
  <dcterms:modified xsi:type="dcterms:W3CDTF">2026-03-13T11:56:46Z</dcterms:modified>
</cp:coreProperties>
</file>