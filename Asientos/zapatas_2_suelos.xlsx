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os\Desarrollo\Python\CalculoPilotes\Asientos\"/>
    </mc:Choice>
  </mc:AlternateContent>
  <xr:revisionPtr revIDLastSave="0" documentId="8_{99870E4A-2E67-4D66-8D9F-4C63E53CFBD4}" xr6:coauthVersionLast="47" xr6:coauthVersionMax="47" xr10:uidLastSave="{00000000-0000-0000-0000-000000000000}"/>
  <bookViews>
    <workbookView xWindow="-120" yWindow="-120" windowWidth="20730" windowHeight="11160" tabRatio="694" xr2:uid="{1C796E97-0D6E-4DCC-BC41-3C4C864BBF2A}"/>
  </bookViews>
  <sheets>
    <sheet name="SUELOS" sheetId="2" r:id="rId1"/>
  </sheets>
  <definedNames>
    <definedName name="_xlnm.Print_Area" localSheetId="0">SUELOS!$A$1:$M$97,SUELOS!$P$1:$AB$98</definedName>
    <definedName name="_xlnm.Criteria">#REF!</definedName>
    <definedName name="Tiempo__s">#REF!</definedName>
    <definedName name="Z_12114348_3A8D_4935_A6F6_768010CCAE46_.wvu.PrintArea" localSheetId="0" hidden="1">SUELOS!$A$1:$M$97,SUELOS!$P$1:$AB$98</definedName>
    <definedName name="Z_20C30929_F252_406C_8D94_44905722B9D9_.wvu.PrintArea" localSheetId="0" hidden="1">SUELOS!$A$1:$M$97,SUELOS!$P$1:$AB$98</definedName>
    <definedName name="Z_2F909812_D728_4B8D_9839_2364091D9253_.wvu.PrintArea" localSheetId="0" hidden="1">SUELOS!$A$1:$M$97,SUELOS!$P$1:$AB$98</definedName>
    <definedName name="Z_543E864F_509F_4920_81D1_F8BE4AA5D61C_.wvu.PrintArea" localSheetId="0" hidden="1">SUELOS!$A$1:$M$97,SUELOS!$P$1:$AB$98</definedName>
    <definedName name="Z_5A0DBCB3_B2E7_4F2F_A73A_3B24630E7D1A_.wvu.PrintArea" localSheetId="0" hidden="1">SUELOS!$A$1:$M$97,SUELOS!$P$1:$AB$98</definedName>
    <definedName name="Z_65522948_B87D_4DE1_A919_A9DBF05A422E_.wvu.PrintArea" localSheetId="0" hidden="1">SUELOS!$A$1:$M$97,SUELOS!$P$1:$AB$98</definedName>
    <definedName name="Z_6D1BF510_2AF1_43B4_AE7F_259F79E565AC_.wvu.PrintArea" localSheetId="0" hidden="1">SUELOS!$A$1:$M$97,SUELOS!$P$1:$AB$98</definedName>
    <definedName name="Z_7FD2F097_FB49_43FA_AD37_E78F103B659E_.wvu.PrintArea" localSheetId="0" hidden="1">SUELOS!$A$1:$M$97,SUELOS!$P$1:$AB$98</definedName>
    <definedName name="Z_8127D4AB_9453_4548_91B7_C6CE80D2789C_.wvu.PrintArea" localSheetId="0" hidden="1">SUELOS!$A$1:$M$97,SUELOS!$P$1:$AB$98</definedName>
  </definedNames>
  <calcPr calcId="191029"/>
  <customWorkbookViews>
    <customWorkbookView name="Irene Villegas Barranco - Vista personalizada" guid="{5A0DBCB3-B2E7-4F2F-A73A-3B24630E7D1A}" mergeInterval="0" personalView="1" maximized="1" windowWidth="1280" windowHeight="838" tabRatio="694" activeSheetId="2"/>
    <customWorkbookView name="Full Name - Vista personalizada" guid="{2F909812-D728-4B8D-9839-2364091D9253}" mergeInterval="0" personalView="1" maximized="1" windowWidth="1148" windowHeight="635" tabRatio="694" activeSheetId="2"/>
    <customWorkbookView name="jrm3264 - Vista personalizada" guid="{543E864F-509F-4920-81D1-F8BE4AA5D61C}" mergeInterval="0" personalView="1" maximized="1" windowWidth="1020" windowHeight="570" tabRatio="694" activeSheetId="2"/>
    <customWorkbookView name="JFL0733 - Vista personalizada" guid="{6D1BF510-2AF1-43B4-AE7F-259F79E565AC}" mergeInterval="0" personalView="1" maximized="1" windowWidth="1020" windowHeight="539" tabRatio="694" activeSheetId="2"/>
    <customWorkbookView name="ETR2837 - Vista personalizada" guid="{8127D4AB-9453-4548-91B7-C6CE80D2789C}" mergeInterval="0" personalView="1" maximized="1" windowWidth="1148" windowHeight="718" tabRatio="694" activeSheetId="1"/>
    <customWorkbookView name="LML3050 - Vista personalizada" guid="{20C30929-F252-406C-8D94-44905722B9D9}" mergeInterval="0" personalView="1" maximized="1" windowWidth="1020" windowHeight="596" tabRatio="694" activeSheetId="2"/>
    <customWorkbookView name="MSM2027 - Vista personalizada" guid="{12114348-3A8D-4935-A6F6-768010CCAE46}" mergeInterval="0" personalView="1" maximized="1" windowWidth="852" windowHeight="459" tabRatio="694" activeSheetId="2"/>
    <customWorkbookView name="JPR2269 - Vista personalizada" guid="{7FD2F097-FB49-43FA-AD37-E78F103B659E}" mergeInterval="0" personalView="1" maximized="1" windowWidth="1020" windowHeight="527" tabRatio="694" activeSheetId="3"/>
    <customWorkbookView name="German Lopez Pineda - Vista personalizada" guid="{65522948-B87D-4DE1-A919-A9DBF05A422E}" mergeInterval="0" personalView="1" maximized="1" xWindow="-8" yWindow="-8" windowWidth="1382" windowHeight="744" tabRatio="694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S7" i="2"/>
  <c r="S8" i="2"/>
  <c r="W37" i="2"/>
  <c r="W42" i="2" s="1"/>
  <c r="AG37" i="2"/>
  <c r="AH37" i="2"/>
  <c r="AI37" i="2"/>
  <c r="AJ37" i="2"/>
  <c r="AQ37" i="2" s="1"/>
  <c r="AS37" i="2" s="1"/>
  <c r="AK37" i="2"/>
  <c r="AM37" i="2" s="1"/>
  <c r="AO37" i="2" s="1"/>
  <c r="AL37" i="2"/>
  <c r="AN37" i="2"/>
  <c r="W38" i="2"/>
  <c r="AG38" i="2"/>
  <c r="AH38" i="2"/>
  <c r="AI38" i="2"/>
  <c r="AJ38" i="2"/>
  <c r="AK38" i="2"/>
  <c r="AM38" i="2" s="1"/>
  <c r="AL38" i="2"/>
  <c r="AN38" i="2" s="1"/>
  <c r="W39" i="2"/>
  <c r="AG39" i="2"/>
  <c r="AH39" i="2"/>
  <c r="AI39" i="2"/>
  <c r="AJ39" i="2"/>
  <c r="AK39" i="2"/>
  <c r="AM39" i="2" s="1"/>
  <c r="AO39" i="2" s="1"/>
  <c r="AL39" i="2"/>
  <c r="AN39" i="2"/>
  <c r="W40" i="2"/>
  <c r="AG40" i="2"/>
  <c r="AH40" i="2"/>
  <c r="AI40" i="2"/>
  <c r="AJ40" i="2"/>
  <c r="AM40" i="2" s="1"/>
  <c r="AK40" i="2"/>
  <c r="AL40" i="2"/>
  <c r="AP40" i="2" s="1"/>
  <c r="W41" i="2"/>
  <c r="AG41" i="2"/>
  <c r="AH41" i="2"/>
  <c r="AI41" i="2"/>
  <c r="AJ41" i="2"/>
  <c r="AK41" i="2"/>
  <c r="AM41" i="2" s="1"/>
  <c r="AL41" i="2"/>
  <c r="AP41" i="2" s="1"/>
  <c r="AR41" i="2" s="1"/>
  <c r="AN41" i="2"/>
  <c r="U92" i="2"/>
  <c r="W92" i="2"/>
  <c r="U93" i="2"/>
  <c r="W93" i="2"/>
  <c r="U94" i="2"/>
  <c r="W94" i="2"/>
  <c r="U95" i="2"/>
  <c r="V95" i="2" s="1"/>
  <c r="W95" i="2"/>
  <c r="X95" i="2" s="1"/>
  <c r="U96" i="2"/>
  <c r="W96" i="2"/>
  <c r="N23" i="2"/>
  <c r="AP37" i="2"/>
  <c r="AR37" i="2"/>
  <c r="AP39" i="2"/>
  <c r="AT39" i="2"/>
  <c r="AT40" i="2"/>
  <c r="N41" i="2"/>
  <c r="F76" i="2" s="1"/>
  <c r="AT41" i="2"/>
  <c r="F29" i="2"/>
  <c r="I43" i="2" s="1"/>
  <c r="K43" i="2" s="1"/>
  <c r="I39" i="2"/>
  <c r="K39" i="2" s="1"/>
  <c r="J39" i="2"/>
  <c r="I40" i="2"/>
  <c r="K40" i="2" s="1"/>
  <c r="J40" i="2"/>
  <c r="I41" i="2"/>
  <c r="K41" i="2" s="1"/>
  <c r="J41" i="2"/>
  <c r="I42" i="2"/>
  <c r="J42" i="2"/>
  <c r="K42" i="2"/>
  <c r="J43" i="2"/>
  <c r="K48" i="2"/>
  <c r="C52" i="2"/>
  <c r="C64" i="2"/>
  <c r="D64" i="2"/>
  <c r="E64" i="2"/>
  <c r="F64" i="2"/>
  <c r="H64" i="2"/>
  <c r="H72" i="2" s="1"/>
  <c r="I64" i="2"/>
  <c r="I70" i="2" s="1"/>
  <c r="J64" i="2"/>
  <c r="J72" i="2" s="1"/>
  <c r="K64" i="2"/>
  <c r="K72" i="2" s="1"/>
  <c r="L64" i="2"/>
  <c r="L72" i="2" s="1"/>
  <c r="C66" i="2"/>
  <c r="D66" i="2"/>
  <c r="I66" i="2"/>
  <c r="E66" i="2"/>
  <c r="J66" i="2" s="1"/>
  <c r="F66" i="2"/>
  <c r="K66" i="2" s="1"/>
  <c r="G66" i="2"/>
  <c r="L66" i="2" s="1"/>
  <c r="H66" i="2"/>
  <c r="C67" i="2"/>
  <c r="H67" i="2" s="1"/>
  <c r="D67" i="2"/>
  <c r="I67" i="2" s="1"/>
  <c r="E67" i="2"/>
  <c r="J67" i="2" s="1"/>
  <c r="F67" i="2"/>
  <c r="K67" i="2" s="1"/>
  <c r="G67" i="2"/>
  <c r="L67" i="2" s="1"/>
  <c r="H68" i="2"/>
  <c r="I68" i="2"/>
  <c r="J68" i="2"/>
  <c r="K68" i="2"/>
  <c r="L68" i="2"/>
  <c r="I72" i="2"/>
  <c r="B88" i="2"/>
  <c r="T66" i="2" s="1"/>
  <c r="B89" i="2"/>
  <c r="Q53" i="2" s="1"/>
  <c r="T93" i="2" s="1"/>
  <c r="B90" i="2"/>
  <c r="Q54" i="2" s="1"/>
  <c r="T94" i="2" s="1"/>
  <c r="B91" i="2"/>
  <c r="Q55" i="2" s="1"/>
  <c r="T95" i="2" s="1"/>
  <c r="B92" i="2"/>
  <c r="T70" i="2" s="1"/>
  <c r="G64" i="2"/>
  <c r="V93" i="2" l="1"/>
  <c r="V54" i="2"/>
  <c r="V53" i="2"/>
  <c r="V55" i="2"/>
  <c r="AO41" i="2"/>
  <c r="AQ41" i="2"/>
  <c r="AS41" i="2" s="1"/>
  <c r="AQ40" i="2"/>
  <c r="AO40" i="2"/>
  <c r="AS40" i="2" s="1"/>
  <c r="AQ39" i="2"/>
  <c r="AS39" i="2"/>
  <c r="X94" i="2"/>
  <c r="V94" i="2"/>
  <c r="AT37" i="2"/>
  <c r="X93" i="2"/>
  <c r="AO38" i="2"/>
  <c r="AQ38" i="2"/>
  <c r="AS38" i="2" s="1"/>
  <c r="K70" i="2"/>
  <c r="T68" i="2"/>
  <c r="Q56" i="2"/>
  <c r="T96" i="2" s="1"/>
  <c r="Q52" i="2"/>
  <c r="T92" i="2" s="1"/>
  <c r="AP38" i="2"/>
  <c r="AR38" i="2" s="1"/>
  <c r="AT38" i="2" s="1"/>
  <c r="T67" i="2"/>
  <c r="AN40" i="2"/>
  <c r="AR40" i="2" s="1"/>
  <c r="T69" i="2"/>
  <c r="AR39" i="2"/>
  <c r="H70" i="2"/>
  <c r="L70" i="2"/>
  <c r="J71" i="2"/>
  <c r="K71" i="2"/>
  <c r="F77" i="2"/>
  <c r="E71" i="2"/>
  <c r="I71" i="2"/>
  <c r="D71" i="2"/>
  <c r="H71" i="2"/>
  <c r="C48" i="2"/>
  <c r="C76" i="2"/>
  <c r="C77" i="2" s="1"/>
  <c r="F71" i="2"/>
  <c r="L71" i="2"/>
  <c r="F75" i="2"/>
  <c r="J70" i="2"/>
  <c r="G71" i="2"/>
  <c r="C71" i="2"/>
  <c r="AT42" i="2" l="1"/>
  <c r="X92" i="2"/>
  <c r="V92" i="2"/>
  <c r="V56" i="2"/>
  <c r="V52" i="2"/>
  <c r="X96" i="2"/>
  <c r="V96" i="2"/>
  <c r="C75" i="2"/>
  <c r="V97" i="2" l="1"/>
  <c r="X97" i="2"/>
  <c r="J98" i="2"/>
  <c r="E90" i="2" s="1"/>
  <c r="D98" i="2"/>
  <c r="C89" i="2" s="1"/>
  <c r="I98" i="2"/>
  <c r="E89" i="2" s="1"/>
  <c r="H98" i="2"/>
  <c r="E88" i="2" s="1"/>
  <c r="L98" i="2"/>
  <c r="E92" i="2" s="1"/>
  <c r="G98" i="2"/>
  <c r="C92" i="2" s="1"/>
  <c r="K98" i="2"/>
  <c r="E91" i="2" s="1"/>
  <c r="E98" i="2"/>
  <c r="C90" i="2" s="1"/>
  <c r="F98" i="2"/>
  <c r="C91" i="2" s="1"/>
  <c r="C98" i="2"/>
  <c r="C88" i="2" s="1"/>
  <c r="U69" i="2" l="1"/>
  <c r="V69" i="2"/>
  <c r="X70" i="2"/>
  <c r="W70" i="2"/>
  <c r="W68" i="2"/>
  <c r="X68" i="2"/>
  <c r="U70" i="2"/>
  <c r="V70" i="2"/>
  <c r="V68" i="2"/>
  <c r="U68" i="2"/>
  <c r="X66" i="2"/>
  <c r="W66" i="2"/>
  <c r="U66" i="2"/>
  <c r="V66" i="2"/>
  <c r="V67" i="2"/>
  <c r="U67" i="2"/>
  <c r="X69" i="2"/>
  <c r="W69" i="2"/>
  <c r="W67" i="2"/>
  <c r="X67" i="2"/>
</calcChain>
</file>

<file path=xl/sharedStrings.xml><?xml version="1.0" encoding="utf-8"?>
<sst xmlns="http://schemas.openxmlformats.org/spreadsheetml/2006/main" count="202" uniqueCount="141">
  <si>
    <t>MPa</t>
  </si>
  <si>
    <t>º</t>
  </si>
  <si>
    <t>Expediente</t>
  </si>
  <si>
    <t>KPa</t>
  </si>
  <si>
    <t>NIVEL 1</t>
  </si>
  <si>
    <t>NIVEL 2</t>
  </si>
  <si>
    <t>NIVEL 3</t>
  </si>
  <si>
    <t>NIVEL 4</t>
  </si>
  <si>
    <t>NIVEL 5</t>
  </si>
  <si>
    <t>Prof. inicial</t>
  </si>
  <si>
    <t>Prof. final</t>
  </si>
  <si>
    <t>m</t>
  </si>
  <si>
    <t>Espesor</t>
  </si>
  <si>
    <t>Nivel freático</t>
  </si>
  <si>
    <r>
      <t>q</t>
    </r>
    <r>
      <rPr>
        <b/>
        <vertAlign val="subscript"/>
        <sz val="10"/>
        <rFont val="Arial"/>
        <family val="2"/>
      </rPr>
      <t>d</t>
    </r>
  </si>
  <si>
    <t>D=</t>
  </si>
  <si>
    <t>b=</t>
  </si>
  <si>
    <r>
      <t>g</t>
    </r>
    <r>
      <rPr>
        <sz val="10"/>
        <rFont val="Arial"/>
        <family val="2"/>
      </rPr>
      <t>'=</t>
    </r>
  </si>
  <si>
    <t>CIMENTACIONES SUPERFICIALES EN TODO TIPO DE SUELOS</t>
  </si>
  <si>
    <t>PARÁMETROS CARACTERÍSTICOS DEL TERRENO</t>
  </si>
  <si>
    <t>Peso específico por debajo de la base de cimentación</t>
  </si>
  <si>
    <r>
      <t>c</t>
    </r>
    <r>
      <rPr>
        <vertAlign val="subscript"/>
        <sz val="10"/>
        <rFont val="Arial"/>
        <family val="2"/>
      </rPr>
      <t>K</t>
    </r>
    <r>
      <rPr>
        <sz val="10"/>
        <rFont val="Arial"/>
        <family val="2"/>
      </rPr>
      <t>=</t>
    </r>
  </si>
  <si>
    <r>
      <t>KN/m</t>
    </r>
    <r>
      <rPr>
        <vertAlign val="superscript"/>
        <sz val="10"/>
        <rFont val="Arial"/>
        <family val="2"/>
      </rPr>
      <t>3</t>
    </r>
  </si>
  <si>
    <r>
      <t>q</t>
    </r>
    <r>
      <rPr>
        <vertAlign val="subscript"/>
        <sz val="10"/>
        <rFont val="Arial"/>
        <family val="2"/>
      </rPr>
      <t>0K</t>
    </r>
    <r>
      <rPr>
        <sz val="10"/>
        <rFont val="Arial"/>
        <family val="2"/>
      </rPr>
      <t>=</t>
    </r>
  </si>
  <si>
    <r>
      <t>f</t>
    </r>
    <r>
      <rPr>
        <vertAlign val="subscript"/>
        <sz val="10"/>
        <rFont val="Arial"/>
        <family val="2"/>
      </rPr>
      <t>K</t>
    </r>
    <r>
      <rPr>
        <sz val="10"/>
        <rFont val="Arial"/>
        <family val="2"/>
      </rPr>
      <t>=</t>
    </r>
  </si>
  <si>
    <t>EXPRESIÓN ANALÍTICA BÁSICA</t>
  </si>
  <si>
    <t>FACTORES CORRECTORES O DE INFLUENCIA</t>
  </si>
  <si>
    <t>Profundidad de la base de la cimentación</t>
  </si>
  <si>
    <t>No se debe tener en cuenta en los siguientes casos:</t>
  </si>
  <si>
    <t>- Cimentaciones cercanas a taludes</t>
  </si>
  <si>
    <t>- Cuando no se pueda garantizar la permanencia en el tiempo del terreno situado por encima de la base de cimentación</t>
  </si>
  <si>
    <t>- Profundidades de cimentación D inferiores a 2m.</t>
  </si>
  <si>
    <t>Forma de la cimentación</t>
  </si>
  <si>
    <t>FORMA DE LA CIMENTACIÓN</t>
  </si>
  <si>
    <t>Rectangular</t>
  </si>
  <si>
    <t>Circular</t>
  </si>
  <si>
    <t>L*=</t>
  </si>
  <si>
    <t>Largo equivalente (m)</t>
  </si>
  <si>
    <t>Influencia de la resistencia al corte del terreno situado sobre la base de la cimentación</t>
  </si>
  <si>
    <t>No</t>
  </si>
  <si>
    <t>Inclinación del terreno situado junto a la cimentación</t>
  </si>
  <si>
    <t>Influencia de la proximidad de un talud a la cimentación</t>
  </si>
  <si>
    <t>Zapata cuadrada (L*=B*)</t>
  </si>
  <si>
    <t>Zapata corrida (L*&gt;&gt;B*)</t>
  </si>
  <si>
    <r>
      <t>g</t>
    </r>
    <r>
      <rPr>
        <vertAlign val="subscript"/>
        <sz val="10"/>
        <rFont val="Arial"/>
        <family val="2"/>
      </rPr>
      <t>ap</t>
    </r>
    <r>
      <rPr>
        <sz val="10"/>
        <rFont val="Arial"/>
        <family val="2"/>
      </rPr>
      <t>=</t>
    </r>
  </si>
  <si>
    <t>¿Existe flujo ascendente?</t>
  </si>
  <si>
    <t>Gradiente vertical medio en 1,5B bajo la base de la cimentación</t>
  </si>
  <si>
    <t>PRESIÓN VERTICAL ADMISIBLE POR HUNDIMIENTO</t>
  </si>
  <si>
    <t>Ancho de cimentación</t>
  </si>
  <si>
    <t>Zapata corrida</t>
  </si>
  <si>
    <t>Zapata cuadrada</t>
  </si>
  <si>
    <t>Resistencia al corte del terreno situado sobre la base de la cimentación</t>
  </si>
  <si>
    <t>¿Tener en cuenta?</t>
  </si>
  <si>
    <r>
      <t>2</t>
    </r>
    <r>
      <rPr>
        <sz val="10"/>
        <rFont val="Symbol"/>
        <family val="1"/>
        <charset val="2"/>
      </rPr>
      <t>b</t>
    </r>
    <r>
      <rPr>
        <sz val="10"/>
        <rFont val="Arial"/>
        <family val="2"/>
      </rPr>
      <t>c</t>
    </r>
    <r>
      <rPr>
        <vertAlign val="subscript"/>
        <sz val="10"/>
        <rFont val="Arial"/>
        <family val="2"/>
      </rPr>
      <t>u</t>
    </r>
    <r>
      <rPr>
        <sz val="10"/>
        <rFont val="Arial"/>
        <family val="2"/>
      </rPr>
      <t>=</t>
    </r>
  </si>
  <si>
    <r>
      <t xml:space="preserve">Si </t>
    </r>
    <r>
      <rPr>
        <sz val="8"/>
        <rFont val="Symbol"/>
        <family val="1"/>
        <charset val="2"/>
      </rPr>
      <t>b</t>
    </r>
    <r>
      <rPr>
        <sz val="8"/>
        <rFont val="Arial"/>
        <family val="2"/>
      </rPr>
      <t>&gt;</t>
    </r>
    <r>
      <rPr>
        <sz val="8"/>
        <rFont val="Symbol"/>
        <family val="1"/>
        <charset val="2"/>
      </rPr>
      <t>f</t>
    </r>
    <r>
      <rPr>
        <sz val="8"/>
        <rFont val="Arial"/>
        <family val="2"/>
      </rPr>
      <t>'/2 se recomienda llevar a cabo un estudio específico de estabilidad global</t>
    </r>
  </si>
  <si>
    <r>
      <t>En situaciones transitorias y sin drenaje, puede calcularse la presión de hundimiento como en terreno horizontal y depués reducirla en 2</t>
    </r>
    <r>
      <rPr>
        <sz val="8"/>
        <rFont val="Symbol"/>
        <family val="1"/>
        <charset val="2"/>
      </rPr>
      <t>b</t>
    </r>
    <r>
      <rPr>
        <sz val="8"/>
        <rFont val="Arial"/>
        <family val="2"/>
      </rPr>
      <t>c</t>
    </r>
    <r>
      <rPr>
        <vertAlign val="subscript"/>
        <sz val="8"/>
        <rFont val="Arial"/>
        <family val="2"/>
      </rPr>
      <t>u</t>
    </r>
  </si>
  <si>
    <t>¿Talud en situación transitoria y sin drenaje?</t>
  </si>
  <si>
    <t>B* (m)</t>
  </si>
  <si>
    <t>Influencia de la forma de la cimentación</t>
  </si>
  <si>
    <r>
      <t>d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=</t>
    </r>
  </si>
  <si>
    <r>
      <t>d</t>
    </r>
    <r>
      <rPr>
        <vertAlign val="subscript"/>
        <sz val="10"/>
        <rFont val="Arial"/>
        <family val="2"/>
      </rPr>
      <t>q</t>
    </r>
    <r>
      <rPr>
        <sz val="10"/>
        <rFont val="Arial"/>
        <family val="2"/>
      </rPr>
      <t>=</t>
    </r>
  </si>
  <si>
    <r>
      <t>d</t>
    </r>
    <r>
      <rPr>
        <vertAlign val="subscript"/>
        <sz val="10"/>
        <rFont val="Symbol"/>
        <family val="1"/>
        <charset val="2"/>
      </rPr>
      <t>g</t>
    </r>
    <r>
      <rPr>
        <sz val="10"/>
        <rFont val="Symbol"/>
        <family val="1"/>
        <charset val="2"/>
      </rPr>
      <t>=</t>
    </r>
  </si>
  <si>
    <r>
      <t>s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=</t>
    </r>
  </si>
  <si>
    <r>
      <t>s</t>
    </r>
    <r>
      <rPr>
        <vertAlign val="subscript"/>
        <sz val="10"/>
        <rFont val="Arial"/>
        <family val="2"/>
      </rPr>
      <t>q</t>
    </r>
    <r>
      <rPr>
        <sz val="10"/>
        <rFont val="Arial"/>
        <family val="2"/>
      </rPr>
      <t>=</t>
    </r>
  </si>
  <si>
    <r>
      <t>s</t>
    </r>
    <r>
      <rPr>
        <vertAlign val="subscript"/>
        <sz val="10"/>
        <rFont val="Symbol"/>
        <family val="1"/>
        <charset val="2"/>
      </rPr>
      <t>g</t>
    </r>
    <r>
      <rPr>
        <sz val="10"/>
        <rFont val="Arial"/>
        <family val="2"/>
      </rPr>
      <t>=</t>
    </r>
  </si>
  <si>
    <r>
      <t>t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=</t>
    </r>
  </si>
  <si>
    <r>
      <t>t</t>
    </r>
    <r>
      <rPr>
        <vertAlign val="subscript"/>
        <sz val="10"/>
        <rFont val="Arial"/>
        <family val="2"/>
      </rPr>
      <t>q</t>
    </r>
    <r>
      <rPr>
        <sz val="10"/>
        <rFont val="Arial"/>
        <family val="2"/>
      </rPr>
      <t>=</t>
    </r>
  </si>
  <si>
    <r>
      <t>t</t>
    </r>
    <r>
      <rPr>
        <vertAlign val="subscript"/>
        <sz val="10"/>
        <rFont val="Symbol"/>
        <family val="1"/>
        <charset val="2"/>
      </rPr>
      <t>g</t>
    </r>
    <r>
      <rPr>
        <sz val="10"/>
        <rFont val="Arial"/>
        <family val="2"/>
      </rPr>
      <t>=</t>
    </r>
  </si>
  <si>
    <r>
      <t>N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=</t>
    </r>
  </si>
  <si>
    <r>
      <t>N</t>
    </r>
    <r>
      <rPr>
        <vertAlign val="subscript"/>
        <sz val="10"/>
        <rFont val="Arial"/>
        <family val="2"/>
      </rPr>
      <t>q</t>
    </r>
    <r>
      <rPr>
        <sz val="10"/>
        <rFont val="Arial"/>
        <family val="2"/>
      </rPr>
      <t>=</t>
    </r>
  </si>
  <si>
    <r>
      <t>N</t>
    </r>
    <r>
      <rPr>
        <vertAlign val="subscript"/>
        <sz val="10"/>
        <rFont val="Symbol"/>
        <family val="1"/>
        <charset val="2"/>
      </rPr>
      <t>g</t>
    </r>
    <r>
      <rPr>
        <sz val="10"/>
        <rFont val="Arial"/>
        <family val="2"/>
      </rPr>
      <t>=</t>
    </r>
  </si>
  <si>
    <t>siendo:</t>
  </si>
  <si>
    <t>- No aplicable en arcillas normalmente consolidadas o sobreconsolidadas bajo cargas de trabajo superiores a la presión de preconsolidación</t>
  </si>
  <si>
    <t>- A efectos prácticos, se consideran arcillas sobreconsolidadas las que poseen resistencia a compresión simple superior a la carga de servicio transmitida por el edificio</t>
  </si>
  <si>
    <t>cm</t>
  </si>
  <si>
    <t>B</t>
  </si>
  <si>
    <t>L</t>
  </si>
  <si>
    <t>n</t>
  </si>
  <si>
    <t>q</t>
  </si>
  <si>
    <t>Asiento admisible</t>
  </si>
  <si>
    <t>Limitación</t>
  </si>
  <si>
    <t>A</t>
  </si>
  <si>
    <r>
      <t>m</t>
    </r>
    <r>
      <rPr>
        <vertAlign val="subscript"/>
        <sz val="10"/>
        <rFont val="Arial"/>
        <family val="2"/>
      </rPr>
      <t>sup</t>
    </r>
  </si>
  <si>
    <r>
      <t>m</t>
    </r>
    <r>
      <rPr>
        <vertAlign val="subscript"/>
        <sz val="10"/>
        <rFont val="Arial"/>
        <family val="2"/>
      </rPr>
      <t>inf</t>
    </r>
  </si>
  <si>
    <r>
      <t>t</t>
    </r>
    <r>
      <rPr>
        <vertAlign val="subscript"/>
        <sz val="10"/>
        <rFont val="Arial"/>
        <family val="2"/>
      </rPr>
      <t>inf</t>
    </r>
  </si>
  <si>
    <r>
      <t>t</t>
    </r>
    <r>
      <rPr>
        <vertAlign val="subscript"/>
        <sz val="10"/>
        <rFont val="Arial"/>
        <family val="2"/>
      </rPr>
      <t>sup</t>
    </r>
  </si>
  <si>
    <r>
      <t>f</t>
    </r>
    <r>
      <rPr>
        <vertAlign val="subscript"/>
        <sz val="10"/>
        <rFont val="Arial"/>
        <family val="2"/>
      </rPr>
      <t>1sup</t>
    </r>
  </si>
  <si>
    <r>
      <t>f</t>
    </r>
    <r>
      <rPr>
        <vertAlign val="subscript"/>
        <sz val="10"/>
        <rFont val="Arial"/>
        <family val="2"/>
      </rPr>
      <t>1inf</t>
    </r>
  </si>
  <si>
    <r>
      <t>f</t>
    </r>
    <r>
      <rPr>
        <vertAlign val="subscript"/>
        <sz val="10"/>
        <rFont val="Arial"/>
        <family val="2"/>
      </rPr>
      <t>2sup</t>
    </r>
  </si>
  <si>
    <r>
      <t>f</t>
    </r>
    <r>
      <rPr>
        <vertAlign val="subscript"/>
        <sz val="10"/>
        <rFont val="Arial"/>
        <family val="2"/>
      </rPr>
      <t>2inf</t>
    </r>
  </si>
  <si>
    <r>
      <t>s</t>
    </r>
    <r>
      <rPr>
        <vertAlign val="subscript"/>
        <sz val="12"/>
        <rFont val="Arial"/>
        <family val="2"/>
      </rPr>
      <t>sup</t>
    </r>
  </si>
  <si>
    <r>
      <t>s</t>
    </r>
    <r>
      <rPr>
        <vertAlign val="subscript"/>
        <sz val="12"/>
        <rFont val="Arial"/>
        <family val="2"/>
      </rPr>
      <t>inf</t>
    </r>
  </si>
  <si>
    <r>
      <t>i=S</t>
    </r>
    <r>
      <rPr>
        <vertAlign val="subscript"/>
        <sz val="10"/>
        <rFont val="Arial"/>
        <family val="2"/>
      </rPr>
      <t>sup</t>
    </r>
    <r>
      <rPr>
        <sz val="10"/>
        <rFont val="Arial"/>
        <family val="2"/>
      </rPr>
      <t>-S</t>
    </r>
    <r>
      <rPr>
        <vertAlign val="subscript"/>
        <sz val="10"/>
        <rFont val="Arial"/>
        <family val="2"/>
      </rPr>
      <t>inf</t>
    </r>
  </si>
  <si>
    <t>Stotal</t>
  </si>
  <si>
    <t>Asiento en profundidad</t>
  </si>
  <si>
    <t>Acortamiento del estrato</t>
  </si>
  <si>
    <t>Lcorr</t>
  </si>
  <si>
    <t>SITUACIÓN DE DIMENSIONADO</t>
  </si>
  <si>
    <t>Ancho equivalente B* (m)</t>
  </si>
  <si>
    <r>
      <t>i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=</t>
    </r>
  </si>
  <si>
    <t>Resistencia al corte</t>
  </si>
  <si>
    <t>kPa</t>
  </si>
  <si>
    <t>B*</t>
  </si>
  <si>
    <t>z</t>
  </si>
  <si>
    <r>
      <t>En situaciones sin drenaje, ¿c</t>
    </r>
    <r>
      <rPr>
        <b/>
        <vertAlign val="subscript"/>
        <sz val="10"/>
        <rFont val="Arial"/>
        <family val="2"/>
      </rPr>
      <t>u</t>
    </r>
    <r>
      <rPr>
        <b/>
        <sz val="10"/>
        <rFont val="Arial"/>
        <family val="2"/>
      </rPr>
      <t xml:space="preserve"> aumenta linealmente con la proundidad?</t>
    </r>
  </si>
  <si>
    <r>
      <t>c</t>
    </r>
    <r>
      <rPr>
        <b/>
        <vertAlign val="subscript"/>
        <sz val="10"/>
        <rFont val="Arial"/>
        <family val="2"/>
      </rPr>
      <t>u</t>
    </r>
  </si>
  <si>
    <r>
      <t>c</t>
    </r>
    <r>
      <rPr>
        <b/>
        <vertAlign val="subscript"/>
        <sz val="10"/>
        <rFont val="Arial"/>
        <family val="2"/>
      </rPr>
      <t>k</t>
    </r>
  </si>
  <si>
    <t>Situación de dimensionado</t>
  </si>
  <si>
    <r>
      <t>g</t>
    </r>
    <r>
      <rPr>
        <vertAlign val="subscript"/>
        <sz val="10"/>
        <rFont val="Arial"/>
        <family val="2"/>
      </rPr>
      <t>K</t>
    </r>
  </si>
  <si>
    <r>
      <t>kN/m</t>
    </r>
    <r>
      <rPr>
        <vertAlign val="superscript"/>
        <sz val="10"/>
        <rFont val="Arial"/>
        <family val="2"/>
      </rPr>
      <t>3</t>
    </r>
  </si>
  <si>
    <r>
      <t>c</t>
    </r>
    <r>
      <rPr>
        <vertAlign val="subscript"/>
        <sz val="8"/>
        <rFont val="Arial"/>
        <family val="2"/>
      </rPr>
      <t>K</t>
    </r>
    <r>
      <rPr>
        <sz val="8"/>
        <rFont val="Arial"/>
        <family val="2"/>
      </rPr>
      <t xml:space="preserve"> y </t>
    </r>
    <r>
      <rPr>
        <sz val="8"/>
        <rFont val="Symbol"/>
        <family val="1"/>
        <charset val="2"/>
      </rPr>
      <t>f</t>
    </r>
    <r>
      <rPr>
        <vertAlign val="subscript"/>
        <sz val="8"/>
        <rFont val="Arial"/>
        <family val="2"/>
      </rPr>
      <t>K</t>
    </r>
    <r>
      <rPr>
        <sz val="8"/>
        <rFont val="Arial"/>
        <family val="2"/>
      </rPr>
      <t xml:space="preserve"> representativos de una profundidad entre B y 1.5·B, a contar desde la base de la cimentación</t>
    </r>
  </si>
  <si>
    <t>En cálculo a corto plazo considerar peso específico aparente</t>
  </si>
  <si>
    <t>Sobrecarga al nivel de la base de la cimentación</t>
  </si>
  <si>
    <r>
      <t>g</t>
    </r>
    <r>
      <rPr>
        <vertAlign val="subscript"/>
        <sz val="10"/>
        <rFont val="Arial"/>
        <family val="2"/>
      </rPr>
      <t xml:space="preserve">ap </t>
    </r>
    <r>
      <rPr>
        <sz val="10"/>
        <rFont val="Arial"/>
        <family val="2"/>
      </rPr>
      <t>(sup)=</t>
    </r>
  </si>
  <si>
    <t>H=</t>
  </si>
  <si>
    <r>
      <t>Para contar con el término de sobrecarga q</t>
    </r>
    <r>
      <rPr>
        <vertAlign val="subscript"/>
        <sz val="8"/>
        <rFont val="Arial"/>
        <family val="2"/>
      </rPr>
      <t>0K</t>
    </r>
    <r>
      <rPr>
        <sz val="8"/>
        <rFont val="Arial"/>
        <family val="2"/>
      </rPr>
      <t xml:space="preserve"> se debe asegurar durante la vida útil de la obra que no se realizan excavaciones junto a las cimentaciones que pudieran dar lugar a una reducción, o incluso anulación, de la misma.</t>
    </r>
  </si>
  <si>
    <t>Factor de seguridad</t>
  </si>
  <si>
    <r>
      <t>g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=</t>
    </r>
  </si>
  <si>
    <t>Influencia de la inclinación de la resultante de acciones sobre la cimentación
(A considerar en fase de proyecto)</t>
  </si>
  <si>
    <t>Factores de capacidad
de carga</t>
  </si>
  <si>
    <t>- Cimentaciones someras en arcillas muy plásticas que en épocas secas puedan desarrollar grietas por retracción.</t>
  </si>
  <si>
    <t>E
MPa</t>
  </si>
  <si>
    <t>UNIDAD GEOTÉCNICA</t>
  </si>
  <si>
    <t>PRESIÓN VERTICAL ADMISIBLE DE SERVICIO</t>
  </si>
  <si>
    <t>PRESION VERTICAL ADMISIBLE POR ASIENTOS</t>
  </si>
  <si>
    <t>Peticionario</t>
  </si>
  <si>
    <t>Trabajo</t>
  </si>
  <si>
    <t>CÁLCULO DE LA PRESIÓN VERTICAL DE HUNDIMIENTO</t>
  </si>
  <si>
    <t>CÁLCULO ELÁSTICO DE ASIENTOS - MÉTODO DE STEINBRENNER</t>
  </si>
  <si>
    <t>CÁLCULO DE LA PRESIÓN VERTICAL ADMISIBLE DE SERVICIO</t>
  </si>
  <si>
    <r>
      <t>K</t>
    </r>
    <r>
      <rPr>
        <b/>
        <vertAlign val="subscript"/>
        <sz val="8"/>
        <rFont val="Arial"/>
        <family val="2"/>
      </rPr>
      <t>sB</t>
    </r>
  </si>
  <si>
    <r>
      <t>K</t>
    </r>
    <r>
      <rPr>
        <b/>
        <vertAlign val="subscript"/>
        <sz val="8"/>
        <rFont val="Arial"/>
        <family val="2"/>
      </rPr>
      <t>sBL</t>
    </r>
  </si>
  <si>
    <r>
      <t>MN/m</t>
    </r>
    <r>
      <rPr>
        <b/>
        <i/>
        <vertAlign val="superscript"/>
        <sz val="8"/>
        <rFont val="Arial"/>
        <family val="2"/>
      </rPr>
      <t>3</t>
    </r>
  </si>
  <si>
    <r>
      <t>VALORES DE K</t>
    </r>
    <r>
      <rPr>
        <b/>
        <vertAlign val="subscript"/>
        <sz val="10"/>
        <rFont val="Arial"/>
        <family val="2"/>
      </rPr>
      <t>sp30</t>
    </r>
    <r>
      <rPr>
        <b/>
        <sz val="10"/>
        <rFont val="Arial"/>
        <family val="2"/>
      </rPr>
      <t xml:space="preserve"> DEDUCIDOS DEL CÁLCULO DE ASIENTOS</t>
    </r>
  </si>
  <si>
    <r>
      <t>K</t>
    </r>
    <r>
      <rPr>
        <b/>
        <vertAlign val="subscript"/>
        <sz val="8"/>
        <rFont val="Arial"/>
        <family val="2"/>
      </rPr>
      <t>sp30</t>
    </r>
  </si>
  <si>
    <t>Valor medio</t>
  </si>
  <si>
    <t>Total</t>
  </si>
  <si>
    <t>¿Espesor&gt;=2·B?</t>
  </si>
  <si>
    <t>Situación transitoria</t>
  </si>
  <si>
    <t>Persistente a largo plazo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</si>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</sst>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vertAlign val="subscript"/>
      <sz val="8"/>
      <name val="Arial"/>
      <family val="2"/>
    </font>
    <font>
      <sz val="8"/>
      <name val="Symbol"/>
      <family val="1"/>
      <charset val="2"/>
    </font>
    <font>
      <vertAlign val="subscript"/>
      <sz val="10"/>
      <name val="Symbol"/>
      <family val="1"/>
      <charset val="2"/>
    </font>
    <font>
      <b/>
      <vertAlign val="subscript"/>
      <sz val="8"/>
      <name val="Arial"/>
      <family val="2"/>
    </font>
    <font>
      <sz val="12"/>
      <name val="Arial"/>
      <family val="2"/>
    </font>
    <font>
      <b/>
      <sz val="10"/>
      <name val="Symbol"/>
      <family val="1"/>
      <charset val="2"/>
    </font>
    <font>
      <vertAlign val="subscript"/>
      <sz val="12"/>
      <name val="Arial"/>
      <family val="2"/>
    </font>
    <font>
      <sz val="10"/>
      <color indexed="48"/>
      <name val="Arial"/>
      <family val="2"/>
    </font>
    <font>
      <b/>
      <i/>
      <sz val="10"/>
      <name val="Arial"/>
      <family val="2"/>
    </font>
    <font>
      <sz val="10"/>
      <color indexed="56"/>
      <name val="Arial"/>
      <family val="2"/>
    </font>
    <font>
      <b/>
      <i/>
      <vertAlign val="superscript"/>
      <sz val="8"/>
      <name val="Arial"/>
      <family val="2"/>
    </font>
    <font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Continuous"/>
    </xf>
    <xf numFmtId="0" fontId="0" fillId="0" borderId="7" xfId="0" applyBorder="1"/>
    <xf numFmtId="0" fontId="0" fillId="0" borderId="8" xfId="0" applyBorder="1"/>
    <xf numFmtId="0" fontId="6" fillId="0" borderId="0" xfId="0" applyFont="1"/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2" borderId="9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Continuous"/>
    </xf>
    <xf numFmtId="0" fontId="6" fillId="2" borderId="11" xfId="0" applyFont="1" applyFill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2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  <xf numFmtId="0" fontId="15" fillId="0" borderId="4" xfId="0" applyFont="1" applyBorder="1" applyAlignment="1">
      <alignment horizontal="centerContinuous"/>
    </xf>
    <xf numFmtId="0" fontId="0" fillId="0" borderId="0" xfId="0" quotePrefix="1"/>
    <xf numFmtId="0" fontId="0" fillId="0" borderId="10" xfId="0" applyBorder="1"/>
    <xf numFmtId="164" fontId="0" fillId="0" borderId="0" xfId="0" applyNumberFormat="1" applyAlignment="1">
      <alignment wrapText="1"/>
    </xf>
    <xf numFmtId="0" fontId="0" fillId="2" borderId="0" xfId="0" applyFill="1"/>
    <xf numFmtId="0" fontId="2" fillId="0" borderId="0" xfId="0" applyFont="1"/>
    <xf numFmtId="0" fontId="0" fillId="0" borderId="28" xfId="0" applyBorder="1" applyAlignment="1">
      <alignment horizontal="centerContinuous"/>
    </xf>
    <xf numFmtId="0" fontId="0" fillId="0" borderId="31" xfId="0" applyBorder="1" applyAlignment="1">
      <alignment horizontal="centerContinuous"/>
    </xf>
    <xf numFmtId="0" fontId="6" fillId="4" borderId="32" xfId="0" applyFont="1" applyFill="1" applyBorder="1" applyAlignment="1">
      <alignment horizontal="centerContinuous"/>
    </xf>
    <xf numFmtId="164" fontId="0" fillId="0" borderId="35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0" fontId="8" fillId="0" borderId="0" xfId="0" applyFont="1"/>
    <xf numFmtId="2" fontId="0" fillId="0" borderId="0" xfId="0" applyNumberFormat="1"/>
    <xf numFmtId="2" fontId="9" fillId="0" borderId="0" xfId="0" applyNumberFormat="1" applyFont="1"/>
    <xf numFmtId="0" fontId="17" fillId="4" borderId="4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4" xfId="0" applyFont="1" applyBorder="1"/>
    <xf numFmtId="0" fontId="1" fillId="0" borderId="0" xfId="0" applyFont="1"/>
    <xf numFmtId="0" fontId="1" fillId="0" borderId="7" xfId="0" applyFont="1" applyBorder="1"/>
    <xf numFmtId="2" fontId="1" fillId="0" borderId="0" xfId="0" applyNumberFormat="1" applyFont="1"/>
    <xf numFmtId="0" fontId="1" fillId="0" borderId="25" xfId="0" applyFont="1" applyBorder="1"/>
    <xf numFmtId="0" fontId="8" fillId="0" borderId="18" xfId="0" applyFont="1" applyBorder="1"/>
    <xf numFmtId="0" fontId="6" fillId="3" borderId="1" xfId="0" applyFont="1" applyFill="1" applyBorder="1" applyAlignment="1">
      <alignment horizontal="centerContinuous"/>
    </xf>
    <xf numFmtId="0" fontId="0" fillId="3" borderId="2" xfId="0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1" fillId="0" borderId="42" xfId="0" applyFont="1" applyBorder="1"/>
    <xf numFmtId="0" fontId="1" fillId="0" borderId="43" xfId="0" applyFont="1" applyBorder="1"/>
    <xf numFmtId="0" fontId="1" fillId="0" borderId="38" xfId="0" applyFont="1" applyBorder="1"/>
    <xf numFmtId="0" fontId="1" fillId="0" borderId="5" xfId="0" applyFont="1" applyBorder="1"/>
    <xf numFmtId="0" fontId="6" fillId="3" borderId="29" xfId="0" applyFont="1" applyFill="1" applyBorder="1" applyAlignment="1">
      <alignment horizontal="centerContinuous"/>
    </xf>
    <xf numFmtId="0" fontId="6" fillId="3" borderId="44" xfId="0" applyFont="1" applyFill="1" applyBorder="1"/>
    <xf numFmtId="0" fontId="1" fillId="0" borderId="45" xfId="0" applyFont="1" applyBorder="1"/>
    <xf numFmtId="0" fontId="0" fillId="0" borderId="45" xfId="0" applyBorder="1"/>
    <xf numFmtId="0" fontId="7" fillId="0" borderId="0" xfId="0" applyFont="1"/>
    <xf numFmtId="0" fontId="10" fillId="0" borderId="0" xfId="0" applyFont="1"/>
    <xf numFmtId="0" fontId="5" fillId="0" borderId="0" xfId="0" quotePrefix="1" applyFont="1"/>
    <xf numFmtId="0" fontId="2" fillId="0" borderId="0" xfId="0" applyFont="1" applyAlignment="1">
      <alignment horizontal="left" wrapText="1"/>
    </xf>
    <xf numFmtId="0" fontId="3" fillId="0" borderId="0" xfId="0" quotePrefix="1" applyFont="1"/>
    <xf numFmtId="0" fontId="15" fillId="0" borderId="0" xfId="0" applyFont="1" applyAlignment="1">
      <alignment horizontal="centerContinuous"/>
    </xf>
    <xf numFmtId="0" fontId="1" fillId="0" borderId="2" xfId="0" applyFont="1" applyBorder="1"/>
    <xf numFmtId="2" fontId="1" fillId="0" borderId="4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2" fontId="1" fillId="0" borderId="47" xfId="0" applyNumberFormat="1" applyFont="1" applyBorder="1" applyAlignment="1">
      <alignment horizontal="center"/>
    </xf>
    <xf numFmtId="2" fontId="1" fillId="0" borderId="48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2" fontId="1" fillId="0" borderId="50" xfId="0" applyNumberFormat="1" applyFont="1" applyBorder="1" applyAlignment="1">
      <alignment horizontal="center"/>
    </xf>
    <xf numFmtId="2" fontId="1" fillId="0" borderId="51" xfId="0" applyNumberFormat="1" applyFont="1" applyBorder="1" applyAlignment="1">
      <alignment horizontal="center"/>
    </xf>
    <xf numFmtId="2" fontId="1" fillId="0" borderId="52" xfId="0" applyNumberFormat="1" applyFont="1" applyBorder="1" applyAlignment="1">
      <alignment horizontal="center"/>
    </xf>
    <xf numFmtId="2" fontId="1" fillId="0" borderId="40" xfId="0" applyNumberFormat="1" applyFont="1" applyBorder="1" applyAlignment="1">
      <alignment horizontal="center"/>
    </xf>
    <xf numFmtId="2" fontId="1" fillId="0" borderId="39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4" fillId="4" borderId="53" xfId="0" applyFont="1" applyFill="1" applyBorder="1" applyAlignment="1">
      <alignment horizontal="centerContinuous" vertical="center"/>
    </xf>
    <xf numFmtId="165" fontId="0" fillId="0" borderId="22" xfId="0" applyNumberFormat="1" applyBorder="1" applyAlignment="1">
      <alignment horizontal="centerContinuous"/>
    </xf>
    <xf numFmtId="165" fontId="0" fillId="0" borderId="24" xfId="0" applyNumberFormat="1" applyBorder="1" applyAlignment="1">
      <alignment horizontal="centerContinuous"/>
    </xf>
    <xf numFmtId="0" fontId="0" fillId="4" borderId="34" xfId="0" applyFill="1" applyBorder="1" applyAlignment="1">
      <alignment horizontal="centerContinuous"/>
    </xf>
    <xf numFmtId="0" fontId="4" fillId="4" borderId="54" xfId="0" applyFont="1" applyFill="1" applyBorder="1" applyAlignment="1">
      <alignment horizontal="centerContinuous" vertical="center"/>
    </xf>
    <xf numFmtId="0" fontId="0" fillId="4" borderId="55" xfId="0" applyFill="1" applyBorder="1" applyAlignment="1">
      <alignment horizontal="centerContinuous"/>
    </xf>
    <xf numFmtId="165" fontId="0" fillId="0" borderId="19" xfId="0" applyNumberFormat="1" applyBorder="1" applyAlignment="1">
      <alignment horizontal="centerContinuous"/>
    </xf>
    <xf numFmtId="0" fontId="0" fillId="0" borderId="30" xfId="0" applyBorder="1" applyAlignment="1">
      <alignment horizontal="centerContinuous"/>
    </xf>
    <xf numFmtId="0" fontId="16" fillId="4" borderId="56" xfId="0" applyFont="1" applyFill="1" applyBorder="1" applyAlignment="1">
      <alignment horizontal="centerContinuous" wrapText="1"/>
    </xf>
    <xf numFmtId="0" fontId="0" fillId="4" borderId="8" xfId="0" applyFill="1" applyBorder="1" applyAlignment="1">
      <alignment horizontal="centerContinuous"/>
    </xf>
    <xf numFmtId="0" fontId="0" fillId="4" borderId="33" xfId="0" applyFill="1" applyBorder="1" applyAlignment="1">
      <alignment horizontal="centerContinuous"/>
    </xf>
    <xf numFmtId="0" fontId="0" fillId="4" borderId="46" xfId="0" applyFill="1" applyBorder="1" applyAlignment="1">
      <alignment horizontal="centerContinuous"/>
    </xf>
    <xf numFmtId="0" fontId="0" fillId="4" borderId="6" xfId="0" applyFill="1" applyBorder="1" applyAlignment="1">
      <alignment horizontal="centerContinuous"/>
    </xf>
    <xf numFmtId="0" fontId="0" fillId="0" borderId="57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26" xfId="0" applyBorder="1" applyAlignment="1">
      <alignment horizontal="centerContinuous"/>
    </xf>
    <xf numFmtId="0" fontId="4" fillId="4" borderId="0" xfId="0" applyFont="1" applyFill="1" applyAlignment="1">
      <alignment horizontal="center"/>
    </xf>
    <xf numFmtId="0" fontId="4" fillId="4" borderId="58" xfId="0" applyFont="1" applyFill="1" applyBorder="1" applyAlignment="1">
      <alignment horizontal="center" wrapText="1"/>
    </xf>
    <xf numFmtId="0" fontId="4" fillId="4" borderId="5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center"/>
    </xf>
    <xf numFmtId="0" fontId="16" fillId="4" borderId="59" xfId="0" applyFont="1" applyFill="1" applyBorder="1" applyAlignment="1">
      <alignment horizontal="centerContinuous" wrapText="1"/>
    </xf>
    <xf numFmtId="0" fontId="16" fillId="4" borderId="19" xfId="0" applyFont="1" applyFill="1" applyBorder="1" applyAlignment="1">
      <alignment horizontal="centerContinuous" wrapText="1"/>
    </xf>
    <xf numFmtId="0" fontId="16" fillId="4" borderId="19" xfId="0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Continuous"/>
    </xf>
    <xf numFmtId="1" fontId="0" fillId="0" borderId="37" xfId="0" applyNumberFormat="1" applyBorder="1" applyAlignment="1">
      <alignment horizontal="centerContinuous"/>
    </xf>
    <xf numFmtId="0" fontId="17" fillId="4" borderId="43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22" fillId="0" borderId="0" xfId="0" applyFont="1" applyAlignment="1">
      <alignment vertical="center"/>
    </xf>
    <xf numFmtId="165" fontId="0" fillId="0" borderId="0" xfId="0" applyNumberFormat="1"/>
    <xf numFmtId="0" fontId="4" fillId="4" borderId="46" xfId="0" applyFont="1" applyFill="1" applyBorder="1" applyAlignment="1">
      <alignment horizontal="centerContinuous" vertical="center"/>
    </xf>
    <xf numFmtId="0" fontId="16" fillId="4" borderId="0" xfId="0" applyFont="1" applyFill="1" applyAlignment="1">
      <alignment horizontal="centerContinuous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0" fillId="4" borderId="0" xfId="0" applyFill="1" applyAlignment="1">
      <alignment horizontal="centerContinuous"/>
    </xf>
    <xf numFmtId="164" fontId="0" fillId="0" borderId="41" xfId="0" applyNumberFormat="1" applyBorder="1" applyAlignment="1">
      <alignment horizontal="center"/>
    </xf>
    <xf numFmtId="0" fontId="0" fillId="0" borderId="0" xfId="0" quotePrefix="1" applyAlignment="1">
      <alignment horizontal="left" wrapText="1"/>
    </xf>
    <xf numFmtId="0" fontId="25" fillId="0" borderId="0" xfId="0" applyFont="1"/>
    <xf numFmtId="0" fontId="6" fillId="0" borderId="4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0" fillId="0" borderId="0" xfId="0" quotePrefix="1" applyAlignment="1">
      <alignment wrapText="1"/>
    </xf>
    <xf numFmtId="164" fontId="0" fillId="0" borderId="0" xfId="0" applyNumberFormat="1" applyAlignment="1">
      <alignment horizontal="center"/>
    </xf>
    <xf numFmtId="164" fontId="6" fillId="4" borderId="48" xfId="0" applyNumberFormat="1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26" fillId="4" borderId="39" xfId="0" applyFont="1" applyFill="1" applyBorder="1" applyAlignment="1">
      <alignment horizontal="center"/>
    </xf>
    <xf numFmtId="0" fontId="23" fillId="4" borderId="48" xfId="0" applyFont="1" applyFill="1" applyBorder="1" applyAlignment="1">
      <alignment horizontal="center"/>
    </xf>
    <xf numFmtId="0" fontId="2" fillId="0" borderId="0" xfId="0" quotePrefix="1" applyFont="1" applyAlignment="1">
      <alignment wrapText="1"/>
    </xf>
    <xf numFmtId="0" fontId="2" fillId="0" borderId="7" xfId="0" quotePrefix="1" applyFont="1" applyBorder="1" applyAlignment="1">
      <alignment wrapText="1"/>
    </xf>
    <xf numFmtId="0" fontId="6" fillId="0" borderId="4" xfId="0" applyFont="1" applyBorder="1"/>
    <xf numFmtId="2" fontId="0" fillId="0" borderId="5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7" xfId="0" applyNumberFormat="1" applyBorder="1"/>
    <xf numFmtId="0" fontId="7" fillId="0" borderId="4" xfId="0" applyFont="1" applyBorder="1"/>
    <xf numFmtId="0" fontId="0" fillId="0" borderId="4" xfId="0" quotePrefix="1" applyBorder="1" applyAlignment="1">
      <alignment wrapText="1"/>
    </xf>
    <xf numFmtId="0" fontId="0" fillId="0" borderId="4" xfId="0" quotePrefix="1" applyBorder="1" applyAlignment="1">
      <alignment horizontal="left" wrapText="1"/>
    </xf>
    <xf numFmtId="0" fontId="2" fillId="0" borderId="4" xfId="0" applyFont="1" applyBorder="1"/>
    <xf numFmtId="0" fontId="2" fillId="0" borderId="4" xfId="0" quotePrefix="1" applyFont="1" applyBorder="1"/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164" fontId="0" fillId="0" borderId="6" xfId="0" applyNumberFormat="1" applyBorder="1" applyAlignment="1">
      <alignment wrapText="1"/>
    </xf>
    <xf numFmtId="0" fontId="6" fillId="0" borderId="1" xfId="0" applyFont="1" applyBorder="1" applyAlignment="1">
      <alignment horizontal="centerContinuous" vertical="top"/>
    </xf>
    <xf numFmtId="0" fontId="17" fillId="4" borderId="38" xfId="0" applyFont="1" applyFill="1" applyBorder="1" applyAlignment="1">
      <alignment horizontal="center" wrapText="1"/>
    </xf>
    <xf numFmtId="2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4" fontId="5" fillId="0" borderId="22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0" fontId="27" fillId="0" borderId="0" xfId="0" applyFont="1" applyProtection="1">
      <protection locked="0"/>
    </xf>
    <xf numFmtId="0" fontId="5" fillId="5" borderId="0" xfId="0" applyFont="1" applyFill="1" applyProtection="1">
      <protection locked="0"/>
    </xf>
    <xf numFmtId="164" fontId="5" fillId="5" borderId="0" xfId="0" applyNumberFormat="1" applyFont="1" applyFill="1" applyAlignment="1" applyProtection="1">
      <alignment horizontal="left"/>
      <protection locked="0"/>
    </xf>
    <xf numFmtId="2" fontId="5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0" fontId="2" fillId="5" borderId="4" xfId="0" applyFont="1" applyFill="1" applyBorder="1" applyAlignment="1" applyProtection="1">
      <alignment horizontal="left" wrapText="1"/>
      <protection locked="0"/>
    </xf>
    <xf numFmtId="0" fontId="2" fillId="5" borderId="0" xfId="0" applyFont="1" applyFill="1" applyAlignment="1" applyProtection="1">
      <alignment horizontal="left" wrapText="1"/>
      <protection locked="0"/>
    </xf>
    <xf numFmtId="164" fontId="27" fillId="5" borderId="12" xfId="0" applyNumberFormat="1" applyFont="1" applyFill="1" applyBorder="1" applyAlignment="1" applyProtection="1">
      <alignment horizontal="center"/>
      <protection locked="0"/>
    </xf>
    <xf numFmtId="0" fontId="27" fillId="5" borderId="12" xfId="0" applyFont="1" applyFill="1" applyBorder="1" applyAlignment="1" applyProtection="1">
      <alignment horizontal="center"/>
      <protection locked="0"/>
    </xf>
    <xf numFmtId="0" fontId="5" fillId="5" borderId="22" xfId="0" applyFont="1" applyFill="1" applyBorder="1" applyAlignment="1" applyProtection="1">
      <alignment horizontal="center"/>
      <protection locked="0"/>
    </xf>
    <xf numFmtId="164" fontId="5" fillId="5" borderId="12" xfId="0" applyNumberFormat="1" applyFont="1" applyFill="1" applyBorder="1" applyAlignment="1" applyProtection="1">
      <alignment horizontal="center"/>
      <protection locked="0"/>
    </xf>
    <xf numFmtId="0" fontId="5" fillId="5" borderId="24" xfId="0" applyFont="1" applyFill="1" applyBorder="1" applyAlignment="1" applyProtection="1">
      <alignment horizontal="center"/>
      <protection locked="0"/>
    </xf>
    <xf numFmtId="164" fontId="5" fillId="5" borderId="37" xfId="0" applyNumberFormat="1" applyFont="1" applyFill="1" applyBorder="1" applyAlignment="1" applyProtection="1">
      <alignment horizontal="center"/>
      <protection locked="0"/>
    </xf>
    <xf numFmtId="164" fontId="5" fillId="5" borderId="26" xfId="0" applyNumberFormat="1" applyFont="1" applyFill="1" applyBorder="1" applyAlignment="1" applyProtection="1">
      <alignment horizontal="center"/>
      <protection locked="0"/>
    </xf>
    <xf numFmtId="164" fontId="5" fillId="5" borderId="22" xfId="0" applyNumberFormat="1" applyFont="1" applyFill="1" applyBorder="1" applyAlignment="1" applyProtection="1">
      <alignment horizontal="center"/>
      <protection locked="0"/>
    </xf>
    <xf numFmtId="0" fontId="5" fillId="5" borderId="13" xfId="0" applyFont="1" applyFill="1" applyBorder="1" applyAlignment="1" applyProtection="1">
      <alignment horizontal="center"/>
      <protection locked="0"/>
    </xf>
    <xf numFmtId="164" fontId="5" fillId="5" borderId="24" xfId="0" applyNumberFormat="1" applyFont="1" applyFill="1" applyBorder="1" applyAlignment="1" applyProtection="1">
      <alignment horizontal="center"/>
      <protection locked="0"/>
    </xf>
    <xf numFmtId="0" fontId="5" fillId="5" borderId="14" xfId="0" applyFont="1" applyFill="1" applyBorder="1" applyAlignment="1" applyProtection="1">
      <alignment horizontal="center"/>
      <protection locked="0"/>
    </xf>
    <xf numFmtId="0" fontId="5" fillId="6" borderId="5" xfId="0" applyFont="1" applyFill="1" applyBorder="1" applyProtection="1">
      <protection locked="0"/>
    </xf>
    <xf numFmtId="0" fontId="0" fillId="6" borderId="8" xfId="0" applyFill="1" applyBorder="1"/>
    <xf numFmtId="2" fontId="0" fillId="0" borderId="21" xfId="0" applyNumberFormat="1" applyBorder="1" applyAlignment="1" applyProtection="1">
      <alignment horizontal="centerContinuous"/>
      <protection locked="0"/>
    </xf>
    <xf numFmtId="2" fontId="0" fillId="0" borderId="23" xfId="0" applyNumberFormat="1" applyBorder="1" applyAlignment="1" applyProtection="1">
      <alignment horizontal="centerContinuous"/>
      <protection locked="0"/>
    </xf>
    <xf numFmtId="0" fontId="4" fillId="4" borderId="46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wrapText="1"/>
    </xf>
    <xf numFmtId="1" fontId="0" fillId="0" borderId="22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4" fillId="4" borderId="48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 wrapText="1"/>
    </xf>
    <xf numFmtId="0" fontId="4" fillId="4" borderId="54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wrapText="1"/>
    </xf>
    <xf numFmtId="1" fontId="0" fillId="0" borderId="13" xfId="0" applyNumberFormat="1" applyBorder="1" applyAlignment="1">
      <alignment horizontal="centerContinuous"/>
    </xf>
    <xf numFmtId="1" fontId="0" fillId="0" borderId="14" xfId="0" applyNumberFormat="1" applyBorder="1" applyAlignment="1">
      <alignment horizontal="centerContinuous"/>
    </xf>
    <xf numFmtId="164" fontId="0" fillId="0" borderId="9" xfId="0" applyNumberFormat="1" applyBorder="1" applyAlignment="1">
      <alignment horizontal="center"/>
    </xf>
    <xf numFmtId="164" fontId="8" fillId="0" borderId="60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Continuous"/>
    </xf>
    <xf numFmtId="1" fontId="8" fillId="0" borderId="16" xfId="0" applyNumberFormat="1" applyFont="1" applyBorder="1" applyAlignment="1">
      <alignment horizontal="centerContinuous"/>
    </xf>
    <xf numFmtId="164" fontId="8" fillId="0" borderId="17" xfId="0" applyNumberFormat="1" applyFont="1" applyBorder="1" applyAlignment="1" applyProtection="1">
      <alignment horizontal="center"/>
      <protection locked="0"/>
    </xf>
    <xf numFmtId="164" fontId="5" fillId="0" borderId="11" xfId="0" applyNumberFormat="1" applyFont="1" applyBorder="1" applyAlignment="1">
      <alignment horizontal="center"/>
    </xf>
    <xf numFmtId="0" fontId="29" fillId="0" borderId="0" xfId="0" applyFont="1" applyProtection="1">
      <protection locked="0"/>
    </xf>
    <xf numFmtId="164" fontId="29" fillId="0" borderId="0" xfId="0" applyNumberFormat="1" applyFont="1" applyProtection="1">
      <protection locked="0"/>
    </xf>
    <xf numFmtId="165" fontId="0" fillId="0" borderId="22" xfId="0" applyNumberFormat="1" applyBorder="1" applyAlignment="1" applyProtection="1">
      <alignment horizontal="centerContinuous"/>
      <protection locked="0"/>
    </xf>
    <xf numFmtId="165" fontId="0" fillId="0" borderId="24" xfId="0" applyNumberFormat="1" applyBorder="1" applyAlignment="1" applyProtection="1">
      <alignment horizontal="centerContinuous"/>
      <protection locked="0"/>
    </xf>
    <xf numFmtId="0" fontId="0" fillId="4" borderId="27" xfId="0" applyFill="1" applyBorder="1"/>
    <xf numFmtId="0" fontId="14" fillId="4" borderId="52" xfId="0" applyFont="1" applyFill="1" applyBorder="1" applyAlignment="1" applyProtection="1">
      <alignment horizontal="centerContinuous"/>
      <protection locked="0"/>
    </xf>
    <xf numFmtId="0" fontId="0" fillId="4" borderId="52" xfId="0" applyFill="1" applyBorder="1"/>
    <xf numFmtId="164" fontId="8" fillId="0" borderId="10" xfId="0" applyNumberFormat="1" applyFont="1" applyBorder="1" applyAlignment="1" applyProtection="1">
      <alignment horizontal="center"/>
      <protection locked="0"/>
    </xf>
    <xf numFmtId="164" fontId="5" fillId="0" borderId="10" xfId="0" applyNumberFormat="1" applyFont="1" applyBorder="1" applyAlignment="1">
      <alignment horizontal="center"/>
    </xf>
    <xf numFmtId="0" fontId="0" fillId="4" borderId="57" xfId="0" applyFill="1" applyBorder="1" applyAlignment="1">
      <alignment horizontal="centerContinuous"/>
    </xf>
    <xf numFmtId="2" fontId="0" fillId="0" borderId="25" xfId="0" applyNumberFormat="1" applyBorder="1" applyAlignment="1" applyProtection="1">
      <alignment horizontal="centerContinuous"/>
      <protection locked="0"/>
    </xf>
    <xf numFmtId="2" fontId="0" fillId="0" borderId="26" xfId="0" applyNumberFormat="1" applyBorder="1" applyAlignment="1" applyProtection="1">
      <alignment horizontal="centerContinuous"/>
      <protection locked="0"/>
    </xf>
    <xf numFmtId="164" fontId="5" fillId="6" borderId="25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 wrapText="1"/>
    </xf>
    <xf numFmtId="0" fontId="17" fillId="4" borderId="61" xfId="0" applyFont="1" applyFill="1" applyBorder="1" applyAlignment="1">
      <alignment horizontal="center" wrapText="1"/>
    </xf>
    <xf numFmtId="0" fontId="17" fillId="4" borderId="43" xfId="0" applyFont="1" applyFill="1" applyBorder="1" applyAlignment="1">
      <alignment horizontal="center" wrapText="1"/>
    </xf>
    <xf numFmtId="0" fontId="5" fillId="5" borderId="0" xfId="0" applyFont="1" applyFill="1" applyAlignment="1" applyProtection="1">
      <alignment horizontal="left"/>
      <protection locked="0"/>
    </xf>
    <xf numFmtId="0" fontId="23" fillId="4" borderId="27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wrapText="1"/>
    </xf>
    <xf numFmtId="0" fontId="4" fillId="4" borderId="39" xfId="0" applyFont="1" applyFill="1" applyBorder="1" applyAlignment="1">
      <alignment horizontal="center" wrapText="1"/>
    </xf>
    <xf numFmtId="0" fontId="2" fillId="0" borderId="0" xfId="0" quotePrefix="1" applyFont="1" applyAlignment="1">
      <alignment horizontal="left" wrapText="1"/>
    </xf>
    <xf numFmtId="0" fontId="2" fillId="0" borderId="7" xfId="0" quotePrefix="1" applyFont="1" applyBorder="1" applyAlignment="1">
      <alignment horizontal="left" wrapText="1"/>
    </xf>
    <xf numFmtId="0" fontId="3" fillId="0" borderId="0" xfId="0" quotePrefix="1" applyFont="1" applyAlignment="1">
      <alignment horizontal="left" wrapText="1"/>
    </xf>
    <xf numFmtId="0" fontId="3" fillId="0" borderId="7" xfId="0" quotePrefix="1" applyFont="1" applyBorder="1" applyAlignment="1">
      <alignment horizontal="left" wrapText="1"/>
    </xf>
    <xf numFmtId="0" fontId="4" fillId="4" borderId="61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left" wrapText="1"/>
    </xf>
    <xf numFmtId="0" fontId="4" fillId="4" borderId="5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ndense val="0"/>
        <extend val="0"/>
        <color indexed="10"/>
      </font>
    </dxf>
    <dxf>
      <font>
        <color theme="0" tint="-0.34998626667073579"/>
      </font>
      <fill>
        <patternFill patternType="none">
          <bgColor indexed="65"/>
        </patternFill>
      </fill>
    </dxf>
    <dxf>
      <font>
        <condense val="0"/>
        <extend val="0"/>
        <color indexed="22"/>
      </font>
      <fill>
        <patternFill patternType="none">
          <bgColor indexed="65"/>
        </patternFill>
      </fill>
    </dxf>
    <dxf>
      <font>
        <condense val="0"/>
        <extend val="0"/>
        <color indexed="22"/>
      </font>
      <fill>
        <patternFill patternType="none">
          <bgColor indexed="65"/>
        </patternFill>
      </fill>
    </dxf>
    <dxf>
      <font>
        <condense val="0"/>
        <extend val="0"/>
        <color indexed="22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lor theme="0" tint="-0.34998626667073579"/>
      </font>
      <fill>
        <patternFill patternType="none">
          <bgColor indexed="65"/>
        </patternFill>
      </fill>
    </dxf>
    <dxf>
      <font>
        <condense val="0"/>
        <extend val="0"/>
        <color indexed="22"/>
      </font>
    </dxf>
    <dxf>
      <fill>
        <patternFill>
          <bgColor indexed="10"/>
        </patternFill>
      </fill>
    </dxf>
    <dxf>
      <fill>
        <patternFill>
          <bgColor indexed="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Presión admisible por hundimiento</a:t>
            </a:r>
          </a:p>
        </c:rich>
      </c:tx>
      <c:layout>
        <c:manualLayout>
          <c:xMode val="edge"/>
          <c:yMode val="edge"/>
          <c:x val="0.27064241107792558"/>
          <c:y val="3.597137073732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20655953738667"/>
          <c:y val="0.10791703351110193"/>
          <c:w val="0.81424723606084304"/>
          <c:h val="0.730238593425123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SUELOS!$C$85</c:f>
              <c:strCache>
                <c:ptCount val="1"/>
                <c:pt idx="0">
                  <c:v>Zapata cuadrada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SUELOS!$B$88:$B$92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SUELOS!$C$88:$C$92</c:f>
              <c:numCache>
                <c:formatCode>0.000</c:formatCode>
                <c:ptCount val="5"/>
                <c:pt idx="0">
                  <c:v>0.15048079832640052</c:v>
                </c:pt>
                <c:pt idx="1">
                  <c:v>0.15997478108072899</c:v>
                </c:pt>
                <c:pt idx="2">
                  <c:v>0.166304102916948</c:v>
                </c:pt>
                <c:pt idx="3">
                  <c:v>0.18212740750749551</c:v>
                </c:pt>
                <c:pt idx="4">
                  <c:v>0.19795071209804305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6F-404A-937D-85A3EBF5B2EA}"/>
            </c:ext>
          </c:extLst>
        </c:ser>
        <c:ser>
          <c:idx val="1"/>
          <c:order val="1"/>
          <c:tx>
            <c:strRef>
              <c:f>SUELOS!$E$85</c:f>
              <c:strCache>
                <c:ptCount val="1"/>
                <c:pt idx="0">
                  <c:v>Zapata corrida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SUELOS!$B$88:$B$92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SUELOS!$E$88:$E$92</c:f>
              <c:numCache>
                <c:formatCode>0.000</c:formatCode>
                <c:ptCount val="5"/>
                <c:pt idx="0">
                  <c:v>0.12305872409075296</c:v>
                </c:pt>
                <c:pt idx="1">
                  <c:v>0.13662247164812505</c:v>
                </c:pt>
                <c:pt idx="2">
                  <c:v>0.14566361373645578</c:v>
                </c:pt>
                <c:pt idx="3">
                  <c:v>0.1682617219659055</c:v>
                </c:pt>
                <c:pt idx="4">
                  <c:v>0.19085304877910211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F-404A-937D-85A3EBF5B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2735"/>
        <c:axId val="1"/>
      </c:scatterChart>
      <c:valAx>
        <c:axId val="39142735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Ancho de cimentación (m)</a:t>
                </a:r>
              </a:p>
            </c:rich>
          </c:tx>
          <c:layout>
            <c:manualLayout>
              <c:xMode val="edge"/>
              <c:yMode val="edge"/>
              <c:x val="0.3784407638700335"/>
              <c:y val="0.9100719605621252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s-ES" sz="85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d</a:t>
                </a:r>
                <a:r>
                  <a:rPr lang="es-ES" sz="8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1.1467945817117688E-2"/>
              <c:y val="0.399280588081471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14273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827881859595139"/>
          <c:y val="0.67268307328742571"/>
          <c:w val="0.27753220502609588"/>
          <c:h val="0.143889357003806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Presión admisible por asientos</a:t>
            </a:r>
          </a:p>
        </c:rich>
      </c:tx>
      <c:layout>
        <c:manualLayout>
          <c:xMode val="edge"/>
          <c:yMode val="edge"/>
          <c:x val="0.29357822244696474"/>
          <c:y val="3.87600687845053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5056380182538"/>
          <c:y val="0.12393560010569332"/>
          <c:w val="0.82153665008670207"/>
          <c:h val="0.692329904038700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SUELOS!$R$49</c:f>
              <c:strCache>
                <c:ptCount val="1"/>
                <c:pt idx="0">
                  <c:v>Zapata cuadrada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SUELOS!$Q$52:$Q$56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SUELOS!$R$52:$R$56</c:f>
              <c:numCache>
                <c:formatCode>0.000</c:formatCode>
                <c:ptCount val="5"/>
                <c:pt idx="0">
                  <c:v>0.92635610488778375</c:v>
                </c:pt>
                <c:pt idx="1">
                  <c:v>0.87425041291795047</c:v>
                </c:pt>
                <c:pt idx="2">
                  <c:v>0.8519097388978677</c:v>
                </c:pt>
                <c:pt idx="3">
                  <c:v>0.82092318403867515</c:v>
                </c:pt>
                <c:pt idx="4">
                  <c:v>0.80870058903087527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85-47B8-9ABC-1C61F8C00C98}"/>
            </c:ext>
          </c:extLst>
        </c:ser>
        <c:ser>
          <c:idx val="1"/>
          <c:order val="1"/>
          <c:tx>
            <c:strRef>
              <c:f>SUELOS!$T$49</c:f>
              <c:strCache>
                <c:ptCount val="1"/>
                <c:pt idx="0">
                  <c:v>Zapata corrida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SUELOS!$Q$52:$Q$56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SUELOS!$T$52:$T$56</c:f>
              <c:numCache>
                <c:formatCode>0.000</c:formatCode>
                <c:ptCount val="5"/>
                <c:pt idx="0">
                  <c:v>0.87765430907225706</c:v>
                </c:pt>
                <c:pt idx="1">
                  <c:v>0.8519097388978677</c:v>
                </c:pt>
                <c:pt idx="2">
                  <c:v>0.84146260414038465</c:v>
                </c:pt>
                <c:pt idx="3">
                  <c:v>0.82855879770954122</c:v>
                </c:pt>
                <c:pt idx="4">
                  <c:v>0.82567219219510746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85-47B8-9ABC-1C61F8C00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975"/>
        <c:axId val="1"/>
      </c:scatterChart>
      <c:valAx>
        <c:axId val="39148975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Ancho de cimentación (m)</a:t>
                </a:r>
              </a:p>
            </c:rich>
          </c:tx>
          <c:layout>
            <c:manualLayout>
              <c:xMode val="edge"/>
              <c:yMode val="edge"/>
              <c:x val="0.36926653663704878"/>
              <c:y val="0.9031039008055028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s-ES" sz="8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d</a:t>
                </a: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1.1467889908256881E-2"/>
              <c:y val="0.4147302923341479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14897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075296780562974"/>
          <c:y val="0.15385102724228436"/>
          <c:w val="0.276896867249392"/>
          <c:h val="0.170945334419404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Presión admisible para zapata corrida</a:t>
            </a:r>
          </a:p>
        </c:rich>
      </c:tx>
      <c:layout>
        <c:manualLayout>
          <c:xMode val="edge"/>
          <c:yMode val="edge"/>
          <c:x val="0.24770655201842101"/>
          <c:y val="3.89103862017247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166921154008"/>
          <c:y val="0.16084437835170709"/>
          <c:w val="0.64360588279095809"/>
          <c:h val="0.68533691645509975"/>
        </c:manualLayout>
      </c:layout>
      <c:scatterChart>
        <c:scatterStyle val="smoothMarker"/>
        <c:varyColors val="0"/>
        <c:ser>
          <c:idx val="1"/>
          <c:order val="0"/>
          <c:tx>
            <c:v>q asientos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SUELOS!$Q$52:$Q$56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SUELOS!$T$52:$T$56</c:f>
              <c:numCache>
                <c:formatCode>0.000</c:formatCode>
                <c:ptCount val="5"/>
                <c:pt idx="0">
                  <c:v>0.87765430907225706</c:v>
                </c:pt>
                <c:pt idx="1">
                  <c:v>0.8519097388978677</c:v>
                </c:pt>
                <c:pt idx="2">
                  <c:v>0.84146260414038465</c:v>
                </c:pt>
                <c:pt idx="3">
                  <c:v>0.82855879770954122</c:v>
                </c:pt>
                <c:pt idx="4">
                  <c:v>0.82567219219510746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32-4245-AC4A-1930CDF6CD64}"/>
            </c:ext>
          </c:extLst>
        </c:ser>
        <c:ser>
          <c:idx val="3"/>
          <c:order val="1"/>
          <c:tx>
            <c:v>q hundimiento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SUELOS!$B$88:$B$92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SUELOS!$E$88:$E$92</c:f>
              <c:numCache>
                <c:formatCode>0.000</c:formatCode>
                <c:ptCount val="5"/>
                <c:pt idx="0">
                  <c:v>0.12305872409075296</c:v>
                </c:pt>
                <c:pt idx="1">
                  <c:v>0.13662247164812505</c:v>
                </c:pt>
                <c:pt idx="2">
                  <c:v>0.14566361373645578</c:v>
                </c:pt>
                <c:pt idx="3">
                  <c:v>0.1682617219659055</c:v>
                </c:pt>
                <c:pt idx="4">
                  <c:v>0.19085304877910211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32-4245-AC4A-1930CDF6C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72015"/>
        <c:axId val="1"/>
      </c:scatterChart>
      <c:valAx>
        <c:axId val="39172015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Ancho de cimentación (m)</a:t>
                </a:r>
              </a:p>
            </c:rich>
          </c:tx>
          <c:layout>
            <c:manualLayout>
              <c:xMode val="edge"/>
              <c:yMode val="edge"/>
              <c:x val="0.28717861187596949"/>
              <c:y val="0.912617172853393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s-ES" sz="8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d</a:t>
                </a: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1.1468045021979614E-2"/>
              <c:y val="0.404669291338582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3917201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99300087489065"/>
          <c:y val="0.44756730408698914"/>
          <c:w val="0.20774605628284193"/>
          <c:h val="0.108395200599924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Presión admisible para zapata cuadrada</a:t>
            </a:r>
          </a:p>
        </c:rich>
      </c:tx>
      <c:layout>
        <c:manualLayout>
          <c:xMode val="edge"/>
          <c:yMode val="edge"/>
          <c:x val="0.2454130631212082"/>
          <c:y val="3.89102957874946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70334807988099"/>
          <c:y val="0.12847658773624993"/>
          <c:w val="0.64214752161804389"/>
          <c:h val="0.71877442328118202"/>
        </c:manualLayout>
      </c:layout>
      <c:scatterChart>
        <c:scatterStyle val="smoothMarker"/>
        <c:varyColors val="0"/>
        <c:ser>
          <c:idx val="0"/>
          <c:order val="0"/>
          <c:tx>
            <c:v>q asientos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SUELOS!$Q$52:$Q$56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SUELOS!$R$52:$R$56</c:f>
              <c:numCache>
                <c:formatCode>0.000</c:formatCode>
                <c:ptCount val="5"/>
                <c:pt idx="0">
                  <c:v>0.92635610488778375</c:v>
                </c:pt>
                <c:pt idx="1">
                  <c:v>0.87425041291795047</c:v>
                </c:pt>
                <c:pt idx="2">
                  <c:v>0.8519097388978677</c:v>
                </c:pt>
                <c:pt idx="3">
                  <c:v>0.82092318403867515</c:v>
                </c:pt>
                <c:pt idx="4">
                  <c:v>0.80870058903087527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9C-44A9-83CE-6541ADB4B3EA}"/>
            </c:ext>
          </c:extLst>
        </c:ser>
        <c:ser>
          <c:idx val="2"/>
          <c:order val="1"/>
          <c:tx>
            <c:v>q hundimiento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SUELOS!$B$88:$B$92</c:f>
              <c:numCache>
                <c:formatCode>0.0</c:formatCode>
                <c:ptCount val="5"/>
                <c:pt idx="0">
                  <c:v>1.5</c:v>
                </c:pt>
                <c:pt idx="1">
                  <c:v>1.8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</c:numCache>
            </c:numRef>
          </c:xVal>
          <c:yVal>
            <c:numRef>
              <c:f>SUELOS!$C$88:$C$92</c:f>
              <c:numCache>
                <c:formatCode>0.000</c:formatCode>
                <c:ptCount val="5"/>
                <c:pt idx="0">
                  <c:v>0.15048079832640052</c:v>
                </c:pt>
                <c:pt idx="1">
                  <c:v>0.15997478108072899</c:v>
                </c:pt>
                <c:pt idx="2">
                  <c:v>0.166304102916948</c:v>
                </c:pt>
                <c:pt idx="3">
                  <c:v>0.18212740750749551</c:v>
                </c:pt>
                <c:pt idx="4">
                  <c:v>0.19795071209804305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9C-44A9-83CE-6541ADB4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11119"/>
        <c:axId val="1"/>
      </c:scatterChart>
      <c:valAx>
        <c:axId val="80411119"/>
        <c:scaling>
          <c:orientation val="minMax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Ancho de cimentación (m)</a:t>
                </a:r>
              </a:p>
            </c:rich>
          </c:tx>
          <c:layout>
            <c:manualLayout>
              <c:xMode val="edge"/>
              <c:yMode val="edge"/>
              <c:x val="0.37385374983864722"/>
              <c:y val="0.9027237020904301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q</a:t>
                </a:r>
                <a:r>
                  <a:rPr lang="es-ES" sz="8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d</a:t>
                </a:r>
                <a:r>
                  <a:rPr lang="es-E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(MPa)</a:t>
                </a:r>
              </a:p>
            </c:rich>
          </c:tx>
          <c:layout>
            <c:manualLayout>
              <c:xMode val="edge"/>
              <c:yMode val="edge"/>
              <c:x val="1.1467880039585217E-2"/>
              <c:y val="0.396887250795778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80411119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507615851297285"/>
          <c:y val="0.44098732339308655"/>
          <c:w val="0.20859558538789202"/>
          <c:h val="0.10764244894920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chart" Target="../charts/chart4.xml"/><Relationship Id="rId3" Type="http://schemas.openxmlformats.org/officeDocument/2006/relationships/chart" Target="../charts/chart2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0" Type="http://schemas.openxmlformats.org/officeDocument/2006/relationships/image" Target="../media/image7.emf"/><Relationship Id="rId4" Type="http://schemas.openxmlformats.org/officeDocument/2006/relationships/chart" Target="../charts/chart3.xml"/><Relationship Id="rId9" Type="http://schemas.openxmlformats.org/officeDocument/2006/relationships/image" Target="../media/image6.emf"/><Relationship Id="rId1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695325</xdr:colOff>
      <xdr:row>0</xdr:row>
      <xdr:rowOff>133350</xdr:rowOff>
    </xdr:from>
    <xdr:to>
      <xdr:col>11</xdr:col>
      <xdr:colOff>561975</xdr:colOff>
      <xdr:row>2</xdr:row>
      <xdr:rowOff>66675</xdr:rowOff>
    </xdr:to>
    <xdr:pic>
      <xdr:nvPicPr>
        <xdr:cNvPr id="43354" name="Picture 1" descr="image008">
          <a:extLst>
            <a:ext uri="{FF2B5EF4-FFF2-40B4-BE49-F238E27FC236}">
              <a16:creationId xmlns:a16="http://schemas.microsoft.com/office/drawing/2014/main" id="{00000000-0008-0000-0100-00005A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33350"/>
          <a:ext cx="16192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723900</xdr:colOff>
      <xdr:row>80</xdr:row>
      <xdr:rowOff>104775</xdr:rowOff>
    </xdr:from>
    <xdr:to>
      <xdr:col>11</xdr:col>
      <xdr:colOff>495300</xdr:colOff>
      <xdr:row>95</xdr:row>
      <xdr:rowOff>114300</xdr:rowOff>
    </xdr:to>
    <xdr:graphicFrame macro="">
      <xdr:nvGraphicFramePr>
        <xdr:cNvPr id="43355" name="Chart 5">
          <a:extLst>
            <a:ext uri="{FF2B5EF4-FFF2-40B4-BE49-F238E27FC236}">
              <a16:creationId xmlns:a16="http://schemas.microsoft.com/office/drawing/2014/main" id="{00000000-0008-0000-0100-00005BA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695325</xdr:colOff>
      <xdr:row>0</xdr:row>
      <xdr:rowOff>133350</xdr:rowOff>
    </xdr:from>
    <xdr:to>
      <xdr:col>26</xdr:col>
      <xdr:colOff>571500</xdr:colOff>
      <xdr:row>2</xdr:row>
      <xdr:rowOff>66675</xdr:rowOff>
    </xdr:to>
    <xdr:pic>
      <xdr:nvPicPr>
        <xdr:cNvPr id="43356" name="Picture 26" descr="image008">
          <a:extLst>
            <a:ext uri="{FF2B5EF4-FFF2-40B4-BE49-F238E27FC236}">
              <a16:creationId xmlns:a16="http://schemas.microsoft.com/office/drawing/2014/main" id="{00000000-0008-0000-0100-00005C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33350"/>
          <a:ext cx="16287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200025</xdr:colOff>
      <xdr:row>45</xdr:row>
      <xdr:rowOff>66675</xdr:rowOff>
    </xdr:from>
    <xdr:to>
      <xdr:col>26</xdr:col>
      <xdr:colOff>857250</xdr:colOff>
      <xdr:row>57</xdr:row>
      <xdr:rowOff>123825</xdr:rowOff>
    </xdr:to>
    <xdr:graphicFrame macro="">
      <xdr:nvGraphicFramePr>
        <xdr:cNvPr id="43357" name="Chart 28">
          <a:extLst>
            <a:ext uri="{FF2B5EF4-FFF2-40B4-BE49-F238E27FC236}">
              <a16:creationId xmlns:a16="http://schemas.microsoft.com/office/drawing/2014/main" id="{00000000-0008-0000-0100-00005DA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514350</xdr:colOff>
      <xdr:row>70</xdr:row>
      <xdr:rowOff>104775</xdr:rowOff>
    </xdr:from>
    <xdr:to>
      <xdr:col>26</xdr:col>
      <xdr:colOff>809625</xdr:colOff>
      <xdr:row>84</xdr:row>
      <xdr:rowOff>190500</xdr:rowOff>
    </xdr:to>
    <xdr:graphicFrame macro="">
      <xdr:nvGraphicFramePr>
        <xdr:cNvPr id="43358" name="Chart 39">
          <a:extLst>
            <a:ext uri="{FF2B5EF4-FFF2-40B4-BE49-F238E27FC236}">
              <a16:creationId xmlns:a16="http://schemas.microsoft.com/office/drawing/2014/main" id="{00000000-0008-0000-0100-00005EA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819150</xdr:colOff>
      <xdr:row>13</xdr:row>
      <xdr:rowOff>95250</xdr:rowOff>
    </xdr:from>
    <xdr:to>
      <xdr:col>22</xdr:col>
      <xdr:colOff>314325</xdr:colOff>
      <xdr:row>26</xdr:row>
      <xdr:rowOff>142875</xdr:rowOff>
    </xdr:to>
    <xdr:pic>
      <xdr:nvPicPr>
        <xdr:cNvPr id="43359" name="Picture 40">
          <a:extLst>
            <a:ext uri="{FF2B5EF4-FFF2-40B4-BE49-F238E27FC236}">
              <a16:creationId xmlns:a16="http://schemas.microsoft.com/office/drawing/2014/main" id="{00000000-0008-0000-0100-00005F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5425" y="2571750"/>
          <a:ext cx="475297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66675</xdr:colOff>
      <xdr:row>28</xdr:row>
      <xdr:rowOff>57150</xdr:rowOff>
    </xdr:from>
    <xdr:to>
      <xdr:col>19</xdr:col>
      <xdr:colOff>561975</xdr:colOff>
      <xdr:row>30</xdr:row>
      <xdr:rowOff>152400</xdr:rowOff>
    </xdr:to>
    <xdr:pic>
      <xdr:nvPicPr>
        <xdr:cNvPr id="43360" name="Picture 41">
          <a:extLst>
            <a:ext uri="{FF2B5EF4-FFF2-40B4-BE49-F238E27FC236}">
              <a16:creationId xmlns:a16="http://schemas.microsoft.com/office/drawing/2014/main" id="{00000000-0008-0000-0100-000060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5191125"/>
          <a:ext cx="22479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66675</xdr:colOff>
      <xdr:row>28</xdr:row>
      <xdr:rowOff>104775</xdr:rowOff>
    </xdr:from>
    <xdr:to>
      <xdr:col>22</xdr:col>
      <xdr:colOff>400050</xdr:colOff>
      <xdr:row>30</xdr:row>
      <xdr:rowOff>47625</xdr:rowOff>
    </xdr:to>
    <xdr:pic>
      <xdr:nvPicPr>
        <xdr:cNvPr id="43361" name="Picture 42">
          <a:extLst>
            <a:ext uri="{FF2B5EF4-FFF2-40B4-BE49-F238E27FC236}">
              <a16:creationId xmlns:a16="http://schemas.microsoft.com/office/drawing/2014/main" id="{00000000-0008-0000-0100-000061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8150" y="5238750"/>
          <a:ext cx="20859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66675</xdr:colOff>
      <xdr:row>15</xdr:row>
      <xdr:rowOff>85725</xdr:rowOff>
    </xdr:from>
    <xdr:to>
      <xdr:col>26</xdr:col>
      <xdr:colOff>571500</xdr:colOff>
      <xdr:row>29</xdr:row>
      <xdr:rowOff>142875</xdr:rowOff>
    </xdr:to>
    <xdr:pic>
      <xdr:nvPicPr>
        <xdr:cNvPr id="43362" name="Picture 43">
          <a:extLst>
            <a:ext uri="{FF2B5EF4-FFF2-40B4-BE49-F238E27FC236}">
              <a16:creationId xmlns:a16="http://schemas.microsoft.com/office/drawing/2014/main" id="{00000000-0008-0000-0100-000062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07050" y="2886075"/>
          <a:ext cx="3133725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419100</xdr:colOff>
      <xdr:row>14</xdr:row>
      <xdr:rowOff>0</xdr:rowOff>
    </xdr:from>
    <xdr:to>
      <xdr:col>9</xdr:col>
      <xdr:colOff>219075</xdr:colOff>
      <xdr:row>16</xdr:row>
      <xdr:rowOff>104775</xdr:rowOff>
    </xdr:to>
    <xdr:pic>
      <xdr:nvPicPr>
        <xdr:cNvPr id="43363" name="Picture 47">
          <a:extLst>
            <a:ext uri="{FF2B5EF4-FFF2-40B4-BE49-F238E27FC236}">
              <a16:creationId xmlns:a16="http://schemas.microsoft.com/office/drawing/2014/main" id="{00000000-0008-0000-0100-000063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2638425"/>
          <a:ext cx="5057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152400</xdr:colOff>
      <xdr:row>74</xdr:row>
      <xdr:rowOff>47625</xdr:rowOff>
    </xdr:from>
    <xdr:to>
      <xdr:col>9</xdr:col>
      <xdr:colOff>695325</xdr:colOff>
      <xdr:row>77</xdr:row>
      <xdr:rowOff>3175</xdr:rowOff>
    </xdr:to>
    <xdr:pic>
      <xdr:nvPicPr>
        <xdr:cNvPr id="43364" name="Picture 53">
          <a:extLst>
            <a:ext uri="{FF2B5EF4-FFF2-40B4-BE49-F238E27FC236}">
              <a16:creationId xmlns:a16="http://schemas.microsoft.com/office/drawing/2014/main" id="{00000000-0008-0000-0100-000064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3258800"/>
          <a:ext cx="31718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838200</xdr:colOff>
      <xdr:row>74</xdr:row>
      <xdr:rowOff>19050</xdr:rowOff>
    </xdr:from>
    <xdr:to>
      <xdr:col>11</xdr:col>
      <xdr:colOff>819150</xdr:colOff>
      <xdr:row>75</xdr:row>
      <xdr:rowOff>104775</xdr:rowOff>
    </xdr:to>
    <xdr:pic>
      <xdr:nvPicPr>
        <xdr:cNvPr id="43365" name="Picture 54">
          <a:extLst>
            <a:ext uri="{FF2B5EF4-FFF2-40B4-BE49-F238E27FC236}">
              <a16:creationId xmlns:a16="http://schemas.microsoft.com/office/drawing/2014/main" id="{00000000-0008-0000-0100-000065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3230225"/>
          <a:ext cx="17335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847725</xdr:colOff>
      <xdr:row>75</xdr:row>
      <xdr:rowOff>85725</xdr:rowOff>
    </xdr:from>
    <xdr:to>
      <xdr:col>11</xdr:col>
      <xdr:colOff>657225</xdr:colOff>
      <xdr:row>76</xdr:row>
      <xdr:rowOff>152400</xdr:rowOff>
    </xdr:to>
    <xdr:pic>
      <xdr:nvPicPr>
        <xdr:cNvPr id="43366" name="Picture 55">
          <a:extLst>
            <a:ext uri="{FF2B5EF4-FFF2-40B4-BE49-F238E27FC236}">
              <a16:creationId xmlns:a16="http://schemas.microsoft.com/office/drawing/2014/main" id="{00000000-0008-0000-0100-000066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3468350"/>
          <a:ext cx="15621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295275</xdr:colOff>
      <xdr:row>70</xdr:row>
      <xdr:rowOff>85725</xdr:rowOff>
    </xdr:from>
    <xdr:to>
      <xdr:col>21</xdr:col>
      <xdr:colOff>257175</xdr:colOff>
      <xdr:row>84</xdr:row>
      <xdr:rowOff>200025</xdr:rowOff>
    </xdr:to>
    <xdr:graphicFrame macro="">
      <xdr:nvGraphicFramePr>
        <xdr:cNvPr id="43367" name="Chart 56">
          <a:extLst>
            <a:ext uri="{FF2B5EF4-FFF2-40B4-BE49-F238E27FC236}">
              <a16:creationId xmlns:a16="http://schemas.microsoft.com/office/drawing/2014/main" id="{00000000-0008-0000-0100-000067A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19</xdr:col>
      <xdr:colOff>254000</xdr:colOff>
      <xdr:row>45</xdr:row>
      <xdr:rowOff>38100</xdr:rowOff>
    </xdr:from>
    <xdr:to>
      <xdr:col>20</xdr:col>
      <xdr:colOff>774700</xdr:colOff>
      <xdr:row>47</xdr:row>
      <xdr:rowOff>63500</xdr:rowOff>
    </xdr:to>
    <xdr:sp macro="" textlink="">
      <xdr:nvSpPr>
        <xdr:cNvPr id="43046" name="CommandButton1" hidden="1">
          <a:extLst>
            <a:ext uri="{63B3BB69-23CF-44E3-9099-C40C66FF867C}">
              <a14:compatExt xmlns:a14="http://schemas.microsoft.com/office/drawing/2010/main" spid="_x0000_s43046"/>
            </a:ext>
            <a:ext uri="{FF2B5EF4-FFF2-40B4-BE49-F238E27FC236}">
              <a16:creationId xmlns:a16="http://schemas.microsoft.com/office/drawing/2014/main" id="{00000000-0008-0000-0100-000026A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 editAs="oneCell">
    <xdr:from>
      <xdr:col>19</xdr:col>
      <xdr:colOff>190500</xdr:colOff>
      <xdr:row>45</xdr:row>
      <xdr:rowOff>28575</xdr:rowOff>
    </xdr:from>
    <xdr:to>
      <xdr:col>20</xdr:col>
      <xdr:colOff>581025</xdr:colOff>
      <xdr:row>47</xdr:row>
      <xdr:rowOff>47625</xdr:rowOff>
    </xdr:to>
    <xdr:pic>
      <xdr:nvPicPr>
        <xdr:cNvPr id="2" name="CommandButton1">
          <a:extLst>
            <a:ext uri="{FF2B5EF4-FFF2-40B4-BE49-F238E27FC236}">
              <a16:creationId xmlns:a16="http://schemas.microsoft.com/office/drawing/2014/main" id="{2979F74B-DEF2-D9C4-79E7-BF4DFFE7A68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25675" y="8105775"/>
          <a:ext cx="1266825" cy="4095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1DD8-E260-4896-9D67-D0070A0191B4}">
  <sheetPr codeName="Hoja2">
    <pageSetUpPr fitToPage="1"/>
  </sheetPr>
  <dimension ref="A1:AW104"/>
  <sheetViews>
    <sheetView showGridLines="0" tabSelected="1" view="pageBreakPreview" topLeftCell="K7" zoomScale="85" zoomScaleNormal="40" zoomScaleSheetLayoutView="85" workbookViewId="0">
      <selection activeCell="H70" sqref="H70"/>
    </sheetView>
  </sheetViews>
  <sheetFormatPr baseColWidth="10" defaultRowHeight="12.75" x14ac:dyDescent="0.2"/>
  <cols>
    <col min="1" max="1" width="4.7109375" customWidth="1"/>
    <col min="2" max="12" width="13.140625" customWidth="1"/>
    <col min="13" max="13" width="4.7109375" customWidth="1"/>
    <col min="16" max="16" width="4.7109375" customWidth="1"/>
    <col min="17" max="27" width="13.140625" customWidth="1"/>
    <col min="28" max="28" width="4.7109375" customWidth="1"/>
    <col min="31" max="31" width="11.7109375" customWidth="1"/>
    <col min="41" max="41" width="11.42578125" customWidth="1"/>
    <col min="42" max="42" width="12" bestFit="1" customWidth="1"/>
  </cols>
  <sheetData>
    <row r="1" spans="1:47" ht="18.75" customHeight="1" x14ac:dyDescent="0.2">
      <c r="A1" s="1"/>
      <c r="B1" s="2"/>
      <c r="C1" s="2"/>
      <c r="D1" s="2"/>
      <c r="E1" s="2"/>
      <c r="F1" s="2"/>
      <c r="G1" s="2"/>
      <c r="H1" s="2"/>
      <c r="I1" s="3"/>
      <c r="J1" s="1"/>
      <c r="K1" s="2"/>
      <c r="L1" s="2"/>
      <c r="M1" s="3"/>
      <c r="N1" s="2"/>
      <c r="P1" s="1"/>
      <c r="Q1" s="2"/>
      <c r="R1" s="2"/>
      <c r="S1" s="2"/>
      <c r="T1" s="2"/>
      <c r="U1" s="2"/>
      <c r="V1" s="2"/>
      <c r="W1" s="2"/>
      <c r="X1" s="3"/>
      <c r="Y1" s="1"/>
      <c r="Z1" s="2"/>
      <c r="AA1" s="2"/>
      <c r="AB1" s="3"/>
    </row>
    <row r="2" spans="1:47" ht="18.75" customHeight="1" x14ac:dyDescent="0.25">
      <c r="A2" s="22" t="s">
        <v>18</v>
      </c>
      <c r="B2" s="68"/>
      <c r="C2" s="7"/>
      <c r="D2" s="7"/>
      <c r="E2" s="7"/>
      <c r="F2" s="7"/>
      <c r="G2" s="7"/>
      <c r="H2" s="7"/>
      <c r="I2" s="18"/>
      <c r="J2" s="4"/>
      <c r="M2" s="8"/>
      <c r="N2" t="s">
        <v>33</v>
      </c>
      <c r="P2" s="22" t="s">
        <v>18</v>
      </c>
      <c r="Q2" s="68"/>
      <c r="R2" s="7"/>
      <c r="S2" s="7"/>
      <c r="T2" s="7"/>
      <c r="U2" s="7"/>
      <c r="V2" s="7"/>
      <c r="W2" s="7"/>
      <c r="X2" s="18"/>
      <c r="Y2" s="4"/>
      <c r="AB2" s="8"/>
    </row>
    <row r="3" spans="1:47" ht="18.75" customHeight="1" thickBot="1" x14ac:dyDescent="0.25">
      <c r="A3" s="5"/>
      <c r="B3" s="6"/>
      <c r="C3" s="6"/>
      <c r="D3" s="6"/>
      <c r="E3" s="6"/>
      <c r="F3" s="6"/>
      <c r="G3" s="6"/>
      <c r="H3" s="6"/>
      <c r="I3" s="9"/>
      <c r="J3" s="5"/>
      <c r="K3" s="6"/>
      <c r="L3" s="6"/>
      <c r="M3" s="9"/>
      <c r="N3" t="s">
        <v>34</v>
      </c>
      <c r="P3" s="5"/>
      <c r="Q3" s="6"/>
      <c r="R3" s="6"/>
      <c r="S3" s="6"/>
      <c r="T3" s="6"/>
      <c r="U3" s="6"/>
      <c r="V3" s="6"/>
      <c r="W3" s="6"/>
      <c r="X3" s="9"/>
      <c r="Y3" s="5"/>
      <c r="Z3" s="6"/>
      <c r="AA3" s="6"/>
      <c r="AB3" s="9"/>
    </row>
    <row r="4" spans="1:47" ht="18.75" customHeight="1" thickBot="1" x14ac:dyDescent="0.25">
      <c r="A4" s="2"/>
      <c r="B4" s="2"/>
      <c r="C4" s="2"/>
      <c r="D4" s="2"/>
      <c r="E4" s="2"/>
      <c r="F4" s="2"/>
      <c r="G4" s="2"/>
      <c r="H4" s="2"/>
      <c r="I4" s="2"/>
      <c r="N4" t="s">
        <v>35</v>
      </c>
      <c r="P4" s="2"/>
      <c r="Q4" s="2"/>
      <c r="R4" s="2"/>
      <c r="S4" s="2"/>
      <c r="T4" s="2"/>
      <c r="U4" s="2"/>
      <c r="V4" s="2"/>
      <c r="W4" s="2"/>
      <c r="X4" s="2"/>
    </row>
    <row r="5" spans="1:47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</row>
    <row r="6" spans="1:47" ht="15" customHeight="1" x14ac:dyDescent="0.2">
      <c r="A6" s="4"/>
      <c r="C6" s="10" t="s">
        <v>125</v>
      </c>
      <c r="D6" s="154"/>
      <c r="G6" s="10"/>
      <c r="H6" s="10"/>
      <c r="I6" s="10"/>
      <c r="M6" s="8"/>
      <c r="P6" s="4"/>
      <c r="R6" s="10" t="s">
        <v>125</v>
      </c>
      <c r="S6" s="154">
        <f>D6</f>
        <v>0</v>
      </c>
      <c r="T6" s="10"/>
      <c r="W6" s="10"/>
      <c r="X6" s="10"/>
      <c r="AB6" s="8"/>
    </row>
    <row r="7" spans="1:47" x14ac:dyDescent="0.2">
      <c r="A7" s="4"/>
      <c r="C7" s="10" t="s">
        <v>126</v>
      </c>
      <c r="D7" s="154"/>
      <c r="E7" s="10"/>
      <c r="F7" s="10"/>
      <c r="G7" s="10"/>
      <c r="H7" s="10"/>
      <c r="I7" s="10"/>
      <c r="M7" s="8"/>
      <c r="P7" s="4"/>
      <c r="R7" s="10" t="s">
        <v>126</v>
      </c>
      <c r="S7" s="154">
        <f>D7</f>
        <v>0</v>
      </c>
      <c r="T7" s="10"/>
      <c r="U7" s="10"/>
      <c r="V7" s="10"/>
      <c r="W7" s="10"/>
      <c r="AB7" s="8"/>
    </row>
    <row r="8" spans="1:47" x14ac:dyDescent="0.2">
      <c r="A8" s="4"/>
      <c r="C8" s="10" t="s">
        <v>2</v>
      </c>
      <c r="D8" s="154"/>
      <c r="E8" s="10"/>
      <c r="F8" s="10"/>
      <c r="G8" s="10"/>
      <c r="H8" s="10"/>
      <c r="I8" s="10"/>
      <c r="M8" s="8"/>
      <c r="P8" s="4"/>
      <c r="R8" s="10" t="s">
        <v>2</v>
      </c>
      <c r="S8" s="154">
        <f>D8</f>
        <v>0</v>
      </c>
      <c r="T8" s="10"/>
      <c r="U8" s="10"/>
      <c r="V8" s="10"/>
      <c r="W8" s="10"/>
      <c r="AB8" s="8"/>
    </row>
    <row r="9" spans="1:47" ht="13.5" thickBo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9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9"/>
    </row>
    <row r="10" spans="1:47" ht="13.5" thickBot="1" x14ac:dyDescent="0.25"/>
    <row r="11" spans="1:47" ht="13.5" thickBot="1" x14ac:dyDescent="0.25">
      <c r="A11" s="15" t="s">
        <v>127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6"/>
      <c r="O11" s="26"/>
      <c r="P11" s="15" t="s">
        <v>129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7"/>
    </row>
    <row r="12" spans="1:47" ht="13.5" thickBot="1" x14ac:dyDescent="0.25">
      <c r="AD12" s="23" t="s">
        <v>72</v>
      </c>
    </row>
    <row r="13" spans="1:47" x14ac:dyDescent="0.2">
      <c r="A13" s="14" t="s">
        <v>25</v>
      </c>
      <c r="B13" s="11"/>
      <c r="C13" s="12"/>
      <c r="D13" s="11"/>
      <c r="E13" s="12"/>
      <c r="F13" s="12"/>
      <c r="G13" s="12"/>
      <c r="H13" s="11"/>
      <c r="I13" s="12"/>
      <c r="J13" s="11"/>
      <c r="K13" s="12"/>
      <c r="L13" s="12"/>
      <c r="M13" s="13"/>
      <c r="P13" s="14" t="s">
        <v>128</v>
      </c>
      <c r="Q13" s="11"/>
      <c r="R13" s="12"/>
      <c r="S13" s="11"/>
      <c r="T13" s="12"/>
      <c r="U13" s="12"/>
      <c r="V13" s="12"/>
      <c r="W13" s="11"/>
      <c r="X13" s="12"/>
      <c r="Y13" s="11"/>
      <c r="Z13" s="12"/>
      <c r="AA13" s="12"/>
      <c r="AB13" s="13"/>
      <c r="AD13" s="23" t="s">
        <v>73</v>
      </c>
    </row>
    <row r="14" spans="1:47" x14ac:dyDescent="0.2">
      <c r="A14" s="4"/>
      <c r="M14" s="8"/>
      <c r="P14" s="4"/>
      <c r="AB14" s="8"/>
      <c r="AH14" s="113"/>
      <c r="AM14" s="48"/>
      <c r="AN14" s="48"/>
      <c r="AO14" s="48"/>
      <c r="AP14" s="48"/>
      <c r="AQ14" s="48"/>
      <c r="AR14" s="48"/>
      <c r="AS14" s="48"/>
      <c r="AT14" s="48"/>
      <c r="AU14" s="48"/>
    </row>
    <row r="15" spans="1:47" ht="12.75" customHeight="1" x14ac:dyDescent="0.2">
      <c r="A15" s="4"/>
      <c r="M15" s="8"/>
      <c r="P15" s="4"/>
      <c r="X15" t="s">
        <v>71</v>
      </c>
      <c r="AB15" s="8"/>
    </row>
    <row r="16" spans="1:47" ht="17.25" customHeight="1" x14ac:dyDescent="0.2">
      <c r="A16" s="4"/>
      <c r="M16" s="8"/>
      <c r="P16" s="4"/>
      <c r="AB16" s="8"/>
    </row>
    <row r="17" spans="1:28" x14ac:dyDescent="0.2">
      <c r="A17" s="4"/>
      <c r="M17" s="8"/>
      <c r="P17" s="4"/>
      <c r="AB17" s="8"/>
    </row>
    <row r="18" spans="1:28" ht="13.5" thickBo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9"/>
      <c r="P18" s="4"/>
      <c r="V18" s="7"/>
      <c r="X18" s="7"/>
      <c r="Y18" s="7"/>
      <c r="Z18" s="7"/>
      <c r="AB18" s="8"/>
    </row>
    <row r="19" spans="1:28" ht="13.5" customHeight="1" thickBot="1" x14ac:dyDescent="0.25">
      <c r="P19" s="4"/>
      <c r="V19" s="206"/>
      <c r="AB19" s="8"/>
    </row>
    <row r="20" spans="1:28" x14ac:dyDescent="0.2">
      <c r="A20" s="14" t="s">
        <v>97</v>
      </c>
      <c r="B20" s="11"/>
      <c r="C20" s="12"/>
      <c r="D20" s="11"/>
      <c r="E20" s="12"/>
      <c r="F20" s="13"/>
      <c r="G20" s="14" t="s">
        <v>19</v>
      </c>
      <c r="H20" s="11"/>
      <c r="I20" s="12"/>
      <c r="J20" s="11"/>
      <c r="K20" s="12"/>
      <c r="L20" s="12"/>
      <c r="M20" s="13"/>
      <c r="P20" s="4"/>
      <c r="V20" s="206"/>
      <c r="AB20" s="8"/>
    </row>
    <row r="21" spans="1:28" ht="14.25" customHeight="1" x14ac:dyDescent="0.2">
      <c r="A21" s="124"/>
      <c r="B21" s="125"/>
      <c r="C21" s="7"/>
      <c r="D21" s="125"/>
      <c r="E21" s="7"/>
      <c r="F21" s="18"/>
      <c r="G21" s="124"/>
      <c r="H21" s="125"/>
      <c r="I21" s="7"/>
      <c r="J21" s="125"/>
      <c r="K21" s="7"/>
      <c r="L21" s="7"/>
      <c r="M21" s="18"/>
      <c r="N21" t="s">
        <v>37</v>
      </c>
      <c r="P21" s="4"/>
      <c r="V21" s="206"/>
      <c r="AB21" s="8"/>
    </row>
    <row r="22" spans="1:28" ht="14.25" customHeight="1" x14ac:dyDescent="0.2">
      <c r="A22" s="4"/>
      <c r="B22" s="10" t="s">
        <v>107</v>
      </c>
      <c r="F22" s="8"/>
      <c r="G22" s="134" t="s">
        <v>100</v>
      </c>
      <c r="M22" s="8"/>
      <c r="N22" t="s">
        <v>36</v>
      </c>
      <c r="O22" s="41">
        <v>1000</v>
      </c>
      <c r="P22" s="4"/>
      <c r="V22" s="206"/>
      <c r="AB22" s="8"/>
    </row>
    <row r="23" spans="1:28" ht="14.25" customHeight="1" x14ac:dyDescent="0.3">
      <c r="A23" s="4"/>
      <c r="B23" s="209" t="s">
        <v>139</v>
      </c>
      <c r="C23" s="209"/>
      <c r="D23" s="209"/>
      <c r="F23" s="8"/>
      <c r="G23" s="139" t="s">
        <v>24</v>
      </c>
      <c r="H23" s="155">
        <v>30</v>
      </c>
      <c r="I23" t="s">
        <v>1</v>
      </c>
      <c r="J23" s="214" t="s">
        <v>110</v>
      </c>
      <c r="K23" s="214"/>
      <c r="L23" s="214"/>
      <c r="M23" s="215"/>
      <c r="N23" s="40">
        <f>RADIANS(H23)</f>
        <v>0.52359877559829882</v>
      </c>
      <c r="P23" s="4"/>
      <c r="V23" s="206"/>
      <c r="AB23" s="8"/>
    </row>
    <row r="24" spans="1:28" ht="14.25" customHeight="1" x14ac:dyDescent="0.3">
      <c r="A24" s="4"/>
      <c r="F24" s="8"/>
      <c r="G24" s="4" t="s">
        <v>21</v>
      </c>
      <c r="H24" s="158">
        <v>0</v>
      </c>
      <c r="I24" t="s">
        <v>3</v>
      </c>
      <c r="J24" s="214"/>
      <c r="K24" s="214"/>
      <c r="L24" s="214"/>
      <c r="M24" s="215"/>
      <c r="O24" s="41"/>
      <c r="P24" s="4"/>
      <c r="V24" s="206"/>
      <c r="AB24" s="8"/>
    </row>
    <row r="25" spans="1:28" ht="14.25" customHeight="1" x14ac:dyDescent="0.2">
      <c r="A25" s="4"/>
      <c r="B25" s="10" t="s">
        <v>32</v>
      </c>
      <c r="F25" s="8"/>
      <c r="G25" s="4"/>
      <c r="M25" s="8"/>
      <c r="O25" s="41"/>
      <c r="P25" s="4"/>
      <c r="AB25" s="8"/>
    </row>
    <row r="26" spans="1:28" ht="14.25" customHeight="1" x14ac:dyDescent="0.25">
      <c r="A26" s="4"/>
      <c r="B26" s="155" t="s">
        <v>34</v>
      </c>
      <c r="F26" s="8"/>
      <c r="G26" s="134" t="s">
        <v>104</v>
      </c>
      <c r="M26" s="8"/>
      <c r="O26" s="41"/>
      <c r="P26" s="4"/>
      <c r="V26" s="7"/>
      <c r="W26" s="7"/>
      <c r="X26" s="7"/>
      <c r="Y26" s="7"/>
      <c r="AB26" s="8"/>
    </row>
    <row r="27" spans="1:28" ht="14.25" customHeight="1" x14ac:dyDescent="0.2">
      <c r="A27" s="4"/>
      <c r="F27" s="8"/>
      <c r="G27" s="159" t="s">
        <v>140</v>
      </c>
      <c r="M27" s="8"/>
      <c r="O27" s="41"/>
      <c r="P27" s="4"/>
      <c r="AB27" s="8"/>
    </row>
    <row r="28" spans="1:28" ht="14.25" customHeight="1" x14ac:dyDescent="0.25">
      <c r="A28" s="4"/>
      <c r="B28" s="10" t="s">
        <v>98</v>
      </c>
      <c r="F28" s="8"/>
      <c r="G28" s="4"/>
      <c r="I28" s="128" t="s">
        <v>103</v>
      </c>
      <c r="J28" s="129" t="s">
        <v>105</v>
      </c>
      <c r="M28" s="8"/>
      <c r="O28" s="41"/>
      <c r="P28" s="4"/>
      <c r="R28" s="119" t="s">
        <v>94</v>
      </c>
      <c r="U28" s="119" t="s">
        <v>95</v>
      </c>
      <c r="AB28" s="8"/>
    </row>
    <row r="29" spans="1:28" x14ac:dyDescent="0.2">
      <c r="A29" s="4"/>
      <c r="B29" s="156">
        <v>1.5</v>
      </c>
      <c r="C29" s="156">
        <v>1.8</v>
      </c>
      <c r="D29" s="156">
        <v>2</v>
      </c>
      <c r="E29" s="156">
        <v>2.5</v>
      </c>
      <c r="F29" s="156">
        <f>E29+0.5</f>
        <v>3</v>
      </c>
      <c r="G29" s="4"/>
      <c r="I29" s="130" t="s">
        <v>11</v>
      </c>
      <c r="J29" s="130" t="s">
        <v>101</v>
      </c>
      <c r="M29" s="8"/>
      <c r="P29" s="4"/>
      <c r="AB29" s="8"/>
    </row>
    <row r="30" spans="1:28" ht="15.75" customHeight="1" x14ac:dyDescent="0.2">
      <c r="A30" s="4"/>
      <c r="B30" s="10"/>
      <c r="F30" s="8"/>
      <c r="G30" s="4"/>
      <c r="I30" s="161">
        <v>0</v>
      </c>
      <c r="J30" s="162">
        <v>50</v>
      </c>
      <c r="M30" s="8"/>
      <c r="P30" s="4"/>
      <c r="AB30" s="8"/>
    </row>
    <row r="31" spans="1:28" ht="13.5" thickBot="1" x14ac:dyDescent="0.25">
      <c r="A31" s="4"/>
      <c r="B31" s="10" t="s">
        <v>27</v>
      </c>
      <c r="C31" s="41"/>
      <c r="F31" s="8"/>
      <c r="G31" s="4"/>
      <c r="I31" s="161">
        <v>10</v>
      </c>
      <c r="J31" s="162">
        <v>150</v>
      </c>
      <c r="M31" s="8"/>
      <c r="P31" s="5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9"/>
    </row>
    <row r="32" spans="1:28" ht="13.5" thickBot="1" x14ac:dyDescent="0.25">
      <c r="A32" s="4"/>
      <c r="B32" t="s">
        <v>15</v>
      </c>
      <c r="C32" s="157">
        <v>0.5</v>
      </c>
      <c r="D32" t="s">
        <v>11</v>
      </c>
      <c r="F32" s="8"/>
      <c r="G32" s="4"/>
      <c r="M32" s="8"/>
      <c r="O32" s="41"/>
    </row>
    <row r="33" spans="1:49" ht="12" customHeight="1" x14ac:dyDescent="0.2">
      <c r="A33" s="4"/>
      <c r="F33" s="8"/>
      <c r="G33" s="134" t="s">
        <v>20</v>
      </c>
      <c r="M33" s="8"/>
      <c r="O33" s="41"/>
      <c r="P33" s="14" t="s">
        <v>19</v>
      </c>
      <c r="Q33" s="11"/>
      <c r="R33" s="12"/>
      <c r="S33" s="11"/>
      <c r="T33" s="12"/>
      <c r="U33" s="12"/>
      <c r="V33" s="12"/>
      <c r="W33" s="11"/>
      <c r="X33" s="12"/>
      <c r="Y33" s="11"/>
      <c r="Z33" s="12"/>
      <c r="AA33" s="12"/>
      <c r="AB33" s="13"/>
      <c r="AD33" t="s">
        <v>96</v>
      </c>
      <c r="AE33" s="193">
        <v>100</v>
      </c>
      <c r="AF33" t="s">
        <v>11</v>
      </c>
    </row>
    <row r="34" spans="1:49" ht="15" customHeight="1" thickBot="1" x14ac:dyDescent="0.25">
      <c r="A34" s="4"/>
      <c r="B34" s="10" t="s">
        <v>13</v>
      </c>
      <c r="F34" s="8"/>
      <c r="G34" s="139" t="s">
        <v>17</v>
      </c>
      <c r="H34" s="158">
        <v>18</v>
      </c>
      <c r="I34" t="s">
        <v>22</v>
      </c>
      <c r="J34" s="67" t="s">
        <v>111</v>
      </c>
      <c r="M34" s="8"/>
      <c r="O34" s="41"/>
      <c r="P34" s="4"/>
      <c r="AB34" s="8"/>
    </row>
    <row r="35" spans="1:49" ht="15" customHeight="1" x14ac:dyDescent="0.3">
      <c r="A35" s="4"/>
      <c r="B35" s="158">
        <v>6.6</v>
      </c>
      <c r="C35" t="s">
        <v>11</v>
      </c>
      <c r="F35" s="8"/>
      <c r="G35" s="139" t="s">
        <v>44</v>
      </c>
      <c r="H35" s="158">
        <v>18</v>
      </c>
      <c r="I35" t="s">
        <v>22</v>
      </c>
      <c r="M35" s="8"/>
      <c r="O35" s="41"/>
      <c r="P35" s="4"/>
      <c r="T35" s="218" t="s">
        <v>122</v>
      </c>
      <c r="U35" s="103" t="s">
        <v>9</v>
      </c>
      <c r="V35" s="103" t="s">
        <v>10</v>
      </c>
      <c r="W35" s="103" t="s">
        <v>12</v>
      </c>
      <c r="X35" s="212" t="s">
        <v>121</v>
      </c>
      <c r="Y35" s="210" t="s">
        <v>77</v>
      </c>
      <c r="AB35" s="8"/>
    </row>
    <row r="36" spans="1:49" ht="12" customHeight="1" thickBot="1" x14ac:dyDescent="0.35">
      <c r="A36" s="4"/>
      <c r="B36" t="s">
        <v>45</v>
      </c>
      <c r="F36" s="8"/>
      <c r="G36" s="4"/>
      <c r="M36" s="8"/>
      <c r="O36" s="41"/>
      <c r="P36" s="4"/>
      <c r="T36" s="219"/>
      <c r="U36" s="104" t="s">
        <v>11</v>
      </c>
      <c r="V36" s="102" t="s">
        <v>11</v>
      </c>
      <c r="W36" s="104" t="s">
        <v>11</v>
      </c>
      <c r="X36" s="213"/>
      <c r="Y36" s="211"/>
      <c r="AB36" s="8"/>
      <c r="AD36" t="s">
        <v>78</v>
      </c>
      <c r="AE36" s="193">
        <v>0.82567219219510746</v>
      </c>
      <c r="AG36" t="s">
        <v>81</v>
      </c>
      <c r="AH36" t="s">
        <v>75</v>
      </c>
      <c r="AI36" s="118" t="s">
        <v>82</v>
      </c>
      <c r="AJ36" s="118" t="s">
        <v>83</v>
      </c>
      <c r="AK36" s="118" t="s">
        <v>77</v>
      </c>
      <c r="AL36" s="118" t="s">
        <v>85</v>
      </c>
      <c r="AM36" s="118" t="s">
        <v>84</v>
      </c>
      <c r="AN36" s="63" t="s">
        <v>86</v>
      </c>
      <c r="AO36" s="63" t="s">
        <v>87</v>
      </c>
      <c r="AP36" s="63" t="s">
        <v>88</v>
      </c>
      <c r="AQ36" s="63" t="s">
        <v>89</v>
      </c>
      <c r="AR36" s="114" t="s">
        <v>90</v>
      </c>
      <c r="AS36" s="114" t="s">
        <v>91</v>
      </c>
      <c r="AT36" t="s">
        <v>92</v>
      </c>
    </row>
    <row r="37" spans="1:49" ht="15.75" x14ac:dyDescent="0.3">
      <c r="A37" s="4"/>
      <c r="B37" s="155" t="s">
        <v>39</v>
      </c>
      <c r="C37" t="s">
        <v>99</v>
      </c>
      <c r="D37" s="155">
        <v>0.4</v>
      </c>
      <c r="F37" s="8"/>
      <c r="G37" s="4"/>
      <c r="I37" s="129" t="s">
        <v>102</v>
      </c>
      <c r="J37" s="129" t="s">
        <v>106</v>
      </c>
      <c r="K37" s="131" t="s">
        <v>108</v>
      </c>
      <c r="M37" s="8"/>
      <c r="P37" s="4"/>
      <c r="S37" s="105" t="s">
        <v>4</v>
      </c>
      <c r="T37" s="163"/>
      <c r="U37" s="164">
        <v>0</v>
      </c>
      <c r="V37" s="205">
        <v>2.5</v>
      </c>
      <c r="W37" s="151">
        <f>V37-U37</f>
        <v>2.5</v>
      </c>
      <c r="X37" s="168">
        <v>15</v>
      </c>
      <c r="Y37" s="169">
        <v>0.3</v>
      </c>
      <c r="AB37" s="8"/>
      <c r="AD37" t="s">
        <v>75</v>
      </c>
      <c r="AE37" s="194">
        <v>3</v>
      </c>
      <c r="AF37" t="s">
        <v>4</v>
      </c>
      <c r="AG37" s="21">
        <f>1-Y37^2</f>
        <v>0.91</v>
      </c>
      <c r="AH37" s="21">
        <f>1-Y37-Y37^2</f>
        <v>0.61</v>
      </c>
      <c r="AI37" s="21">
        <f>U37/$AE$37</f>
        <v>0</v>
      </c>
      <c r="AJ37" s="21">
        <f>V37/$AE$37</f>
        <v>0.83333333333333337</v>
      </c>
      <c r="AK37" s="41">
        <f>AE$38/AE$37</f>
        <v>33.333333333333336</v>
      </c>
      <c r="AL37" s="41">
        <f>(1+$AK37^2+AI37^2)^(1/2)</f>
        <v>33.348329959851235</v>
      </c>
      <c r="AM37" s="41">
        <f>(1+$AK37^2+AJ37^2)^(1/2)</f>
        <v>33.358740317277501</v>
      </c>
      <c r="AN37" s="41">
        <f t="shared" ref="AN37:AO41" si="0">1/PI()*(LN((AL37+$AK37)/(AL37-$AK37))+$AK37*LN((AL37+1)/(AL37-1)))</f>
        <v>3.3102827998761364</v>
      </c>
      <c r="AO37" s="41">
        <f t="shared" si="0"/>
        <v>3.1423211338901771</v>
      </c>
      <c r="AP37" s="41">
        <f>AI37/2</f>
        <v>0</v>
      </c>
      <c r="AQ37" s="41">
        <f>AJ37/PI()*ATAN($AK37/(AM37*AJ37))</f>
        <v>0.23228221242512745</v>
      </c>
      <c r="AR37" s="41">
        <f>$AE$36*$AE$37/(2*$X37)*($AG37*AN37-$AH37*AP37)</f>
        <v>0.2487219695105134</v>
      </c>
      <c r="AS37" s="41">
        <f>$AE$36*$AE$37/(2*$X37)*($AG37*AO37-$AH37*AQ37)</f>
        <v>0.22440284653121076</v>
      </c>
      <c r="AT37" s="41">
        <f>IF(X37="","",(AR37-AS37)*100)</f>
        <v>2.4319122979302636</v>
      </c>
      <c r="AU37" s="41"/>
      <c r="AW37" s="41"/>
    </row>
    <row r="38" spans="1:49" ht="12.75" customHeight="1" x14ac:dyDescent="0.2">
      <c r="A38" s="4"/>
      <c r="B38" s="27" t="s">
        <v>46</v>
      </c>
      <c r="D38" s="123"/>
      <c r="F38" s="8"/>
      <c r="G38" s="4"/>
      <c r="H38" s="126"/>
      <c r="I38" s="130" t="s">
        <v>11</v>
      </c>
      <c r="J38" s="130" t="s">
        <v>101</v>
      </c>
      <c r="K38" s="130" t="s">
        <v>109</v>
      </c>
      <c r="M38" s="8"/>
      <c r="P38" s="4"/>
      <c r="S38" s="38" t="s">
        <v>5</v>
      </c>
      <c r="T38" s="163"/>
      <c r="U38" s="164">
        <v>2.5</v>
      </c>
      <c r="V38" s="205">
        <v>10</v>
      </c>
      <c r="W38" s="152">
        <f>V38-U38</f>
        <v>7.5</v>
      </c>
      <c r="X38" s="168">
        <v>1200</v>
      </c>
      <c r="Y38" s="169">
        <v>0.2</v>
      </c>
      <c r="AB38" s="8"/>
      <c r="AD38" t="s">
        <v>76</v>
      </c>
      <c r="AE38" s="150">
        <v>100</v>
      </c>
      <c r="AF38" t="s">
        <v>5</v>
      </c>
      <c r="AG38" s="21">
        <f>1-Y38^2</f>
        <v>0.96</v>
      </c>
      <c r="AH38" s="21">
        <f>1-Y38-Y38^2</f>
        <v>0.76</v>
      </c>
      <c r="AI38" s="21">
        <f t="shared" ref="AI38:AJ41" si="1">U38/$AE$37</f>
        <v>0.83333333333333337</v>
      </c>
      <c r="AJ38" s="21">
        <f t="shared" si="1"/>
        <v>3.3333333333333335</v>
      </c>
      <c r="AK38" s="41">
        <f>AE$38/AE$37</f>
        <v>33.333333333333336</v>
      </c>
      <c r="AL38" s="41">
        <f t="shared" ref="AL38:AM41" si="2">(1+$AK38^2+AI38^2)^(1/2)</f>
        <v>33.358740317277501</v>
      </c>
      <c r="AM38" s="41">
        <f t="shared" si="2"/>
        <v>33.514507638069553</v>
      </c>
      <c r="AN38" s="41">
        <f t="shared" si="0"/>
        <v>3.1423211338901771</v>
      </c>
      <c r="AO38" s="41">
        <f t="shared" si="0"/>
        <v>2.5148052349106069</v>
      </c>
      <c r="AP38" s="41">
        <f>AI38/PI()*ATAN($AK38/(AL38*AI38))</f>
        <v>0.23228221242512745</v>
      </c>
      <c r="AQ38" s="41">
        <f>AJ38/PI()*ATAN($AK38/(AM38*AJ38))</f>
        <v>0.30766590422387868</v>
      </c>
      <c r="AR38" s="41">
        <f>$AE$36*$AE$37/(2*$X38)*($AG38*AN38-$AH38*AP38)</f>
        <v>2.9312330996762066E-3</v>
      </c>
      <c r="AS38" s="41">
        <f>$AE$36*$AE$37/(2*$X38)*($AG38*AO38-$AH38*AQ38)</f>
        <v>2.2503560789788385E-3</v>
      </c>
      <c r="AT38" s="41">
        <f>IF(X38="","",(AR38-AS38)*100)</f>
        <v>6.8087702069736813E-2</v>
      </c>
      <c r="AU38" s="41"/>
      <c r="AW38" s="41"/>
    </row>
    <row r="39" spans="1:49" ht="13.5" customHeight="1" x14ac:dyDescent="0.2">
      <c r="A39" s="4"/>
      <c r="E39" s="64"/>
      <c r="F39" s="8"/>
      <c r="G39" s="140"/>
      <c r="H39" s="126"/>
      <c r="I39" s="20">
        <f>B29</f>
        <v>1.5</v>
      </c>
      <c r="J39" s="20">
        <f>IF(AND(G$27="Si",B$23="Transitoria a corto plazo (sin drenaje)"),MIN(2*$J30,($J31-$J30)/($I31-$I30)*($C32+I39/4)+$J30),$H24)</f>
        <v>0</v>
      </c>
      <c r="K39" s="20">
        <f>IF($B$37="No",$H34+MAX(0,MIN($B35-$C32,I39))/I39*($H35-$H34),$H34-$D37*10)</f>
        <v>18</v>
      </c>
      <c r="M39" s="8"/>
      <c r="N39" s="44"/>
      <c r="P39" s="4"/>
      <c r="S39" s="38" t="s">
        <v>6</v>
      </c>
      <c r="T39" s="163"/>
      <c r="U39" s="164"/>
      <c r="V39" s="205"/>
      <c r="W39" s="152">
        <f>V39-U39</f>
        <v>0</v>
      </c>
      <c r="X39" s="168"/>
      <c r="Y39" s="169"/>
      <c r="AB39" s="8"/>
      <c r="AD39" s="114"/>
      <c r="AE39" s="41"/>
      <c r="AF39" t="s">
        <v>6</v>
      </c>
      <c r="AG39" s="21">
        <f>1-Y39^2</f>
        <v>1</v>
      </c>
      <c r="AH39" s="21">
        <f>1-Y39-Y39^2</f>
        <v>1</v>
      </c>
      <c r="AI39" s="21">
        <f t="shared" si="1"/>
        <v>0</v>
      </c>
      <c r="AJ39" s="21">
        <f t="shared" si="1"/>
        <v>0</v>
      </c>
      <c r="AK39" s="41">
        <f>AE$38/AE$37</f>
        <v>33.333333333333336</v>
      </c>
      <c r="AL39" s="41">
        <f t="shared" si="2"/>
        <v>33.348329959851235</v>
      </c>
      <c r="AM39" s="41">
        <f t="shared" si="2"/>
        <v>33.348329959851235</v>
      </c>
      <c r="AN39" s="41">
        <f t="shared" si="0"/>
        <v>3.3102827998761364</v>
      </c>
      <c r="AO39" s="41">
        <f t="shared" si="0"/>
        <v>3.3102827998761364</v>
      </c>
      <c r="AP39" s="41" t="e">
        <f>AI39/PI()*ATAN($AK39/(AL39*AI39))</f>
        <v>#DIV/0!</v>
      </c>
      <c r="AQ39" s="41" t="e">
        <f>AJ39/PI()*ATAN($AK39/(AM39*AJ39))</f>
        <v>#DIV/0!</v>
      </c>
      <c r="AR39" s="41" t="e">
        <f>$AE$36*$AE$37/(2*$X39)*($AG39*AN39-$AH39*AP39)</f>
        <v>#DIV/0!</v>
      </c>
      <c r="AS39" s="41" t="e">
        <f>$AE$36*$AE$37/(2*$X39)*($AG39*AO39-$AH39*AQ39)</f>
        <v>#DIV/0!</v>
      </c>
      <c r="AT39" s="41" t="str">
        <f>IF(X39="","",(AR39-AS39)*100)</f>
        <v/>
      </c>
      <c r="AU39" s="41"/>
      <c r="AW39" s="41"/>
    </row>
    <row r="40" spans="1:49" ht="13.5" customHeight="1" x14ac:dyDescent="0.2">
      <c r="A40" s="4"/>
      <c r="B40" s="10" t="s">
        <v>40</v>
      </c>
      <c r="C40" s="10"/>
      <c r="F40" s="8"/>
      <c r="G40" s="141"/>
      <c r="H40" s="122"/>
      <c r="I40" s="20">
        <f>C29</f>
        <v>1.8</v>
      </c>
      <c r="J40" s="20">
        <f>IF(AND(G$27="Si",B$23="Transitoria a corto plazo (sin drenaje)"),MIN(2*$J30,($J31-$J30)/($I31-$I30)*($C32+I40/4)+$J30),$H24)</f>
        <v>0</v>
      </c>
      <c r="K40" s="20">
        <f>IF($B$37="No",$H34+MAX(0,MIN($B35-$C32,I40))/I40*($H35-$H34),$H34-$D37*10)</f>
        <v>18</v>
      </c>
      <c r="M40" s="8"/>
      <c r="P40" s="4"/>
      <c r="S40" s="38" t="s">
        <v>7</v>
      </c>
      <c r="T40" s="163"/>
      <c r="U40" s="164"/>
      <c r="V40" s="205"/>
      <c r="W40" s="152">
        <f>V40-U40</f>
        <v>0</v>
      </c>
      <c r="X40" s="168"/>
      <c r="Y40" s="169"/>
      <c r="AB40" s="8"/>
      <c r="AF40" t="s">
        <v>7</v>
      </c>
      <c r="AG40" s="21">
        <f>1-Y40^2</f>
        <v>1</v>
      </c>
      <c r="AH40" s="21">
        <f>1-Y40-Y40^2</f>
        <v>1</v>
      </c>
      <c r="AI40" s="21">
        <f t="shared" si="1"/>
        <v>0</v>
      </c>
      <c r="AJ40" s="21">
        <f t="shared" si="1"/>
        <v>0</v>
      </c>
      <c r="AK40" s="41">
        <f>AE$38/AE$37</f>
        <v>33.333333333333336</v>
      </c>
      <c r="AL40" s="41">
        <f t="shared" si="2"/>
        <v>33.348329959851235</v>
      </c>
      <c r="AM40" s="41">
        <f t="shared" si="2"/>
        <v>33.348329959851235</v>
      </c>
      <c r="AN40" s="41">
        <f t="shared" si="0"/>
        <v>3.3102827998761364</v>
      </c>
      <c r="AO40" s="41">
        <f t="shared" si="0"/>
        <v>3.3102827998761364</v>
      </c>
      <c r="AP40" s="41" t="e">
        <f>AI40/PI()*ATAN($AK40/(AL40*AI40))</f>
        <v>#DIV/0!</v>
      </c>
      <c r="AQ40" s="41" t="e">
        <f>AJ40/PI()*ATAN($AK40/(AM40*AJ40))</f>
        <v>#DIV/0!</v>
      </c>
      <c r="AR40" s="41" t="e">
        <f>$AE$36*$AE$37/(2*$X40)*($AG40*AN40-$AH40*AP40)</f>
        <v>#DIV/0!</v>
      </c>
      <c r="AS40" s="41" t="e">
        <f>$AE$36*$AE$37/(2*$X40)*($AG40*AO40-$AH40*AQ40)</f>
        <v>#DIV/0!</v>
      </c>
      <c r="AT40" s="41" t="str">
        <f>IF(X40="","",(AR40-AS40)*100)</f>
        <v/>
      </c>
      <c r="AU40" s="41"/>
      <c r="AW40" s="41"/>
    </row>
    <row r="41" spans="1:49" ht="13.5" customHeight="1" thickBot="1" x14ac:dyDescent="0.25">
      <c r="A41" s="4"/>
      <c r="B41" s="63" t="s">
        <v>16</v>
      </c>
      <c r="C41" s="157">
        <v>0</v>
      </c>
      <c r="D41" t="s">
        <v>1</v>
      </c>
      <c r="F41" s="8"/>
      <c r="G41" s="141"/>
      <c r="H41" s="122"/>
      <c r="I41" s="20">
        <f>D29</f>
        <v>2</v>
      </c>
      <c r="J41" s="20">
        <f>IF(AND(G$27="Si",B$23="Transitoria a corto plazo (sin drenaje)"),MIN(2*$J30,($J31-$J30)/($I31-$I30)*($C32+I41/4)+$J30),$H24)</f>
        <v>0</v>
      </c>
      <c r="K41" s="20">
        <f>IF($B$37="No",$H34+MAX(0,MIN($B35-$C32,I41))/I41*($H35-$H34),$H34-$D37*10)</f>
        <v>18</v>
      </c>
      <c r="M41" s="8"/>
      <c r="N41" s="40">
        <f>RADIANS(C41)</f>
        <v>0</v>
      </c>
      <c r="P41" s="4"/>
      <c r="S41" s="106" t="s">
        <v>8</v>
      </c>
      <c r="T41" s="165"/>
      <c r="U41" s="166"/>
      <c r="V41" s="167"/>
      <c r="W41" s="153">
        <f>V41-U41</f>
        <v>0</v>
      </c>
      <c r="X41" s="170"/>
      <c r="Y41" s="171"/>
      <c r="AB41" s="8"/>
      <c r="AF41" t="s">
        <v>8</v>
      </c>
      <c r="AG41" s="21">
        <f>1-Y41^2</f>
        <v>1</v>
      </c>
      <c r="AH41" s="21">
        <f>1-Y41-Y41^2</f>
        <v>1</v>
      </c>
      <c r="AI41" s="21">
        <f t="shared" si="1"/>
        <v>0</v>
      </c>
      <c r="AJ41" s="21">
        <f t="shared" si="1"/>
        <v>0</v>
      </c>
      <c r="AK41" s="41">
        <f>AE$38/AE$37</f>
        <v>33.333333333333336</v>
      </c>
      <c r="AL41" s="41">
        <f t="shared" si="2"/>
        <v>33.348329959851235</v>
      </c>
      <c r="AM41" s="41">
        <f t="shared" si="2"/>
        <v>33.348329959851235</v>
      </c>
      <c r="AN41" s="41">
        <f t="shared" si="0"/>
        <v>3.3102827998761364</v>
      </c>
      <c r="AO41" s="41">
        <f t="shared" si="0"/>
        <v>3.3102827998761364</v>
      </c>
      <c r="AP41" s="41" t="e">
        <f>AI41/PI()*ATAN($AK41/(AL41*AI41))</f>
        <v>#DIV/0!</v>
      </c>
      <c r="AQ41" s="41" t="e">
        <f>AJ41/PI()*ATAN($AK41/(AM41*AJ41))</f>
        <v>#DIV/0!</v>
      </c>
      <c r="AR41" s="41" t="e">
        <f>$AE$36*$AE$37/(2*$X41)*($AG41*AN41-$AH41*AP41)</f>
        <v>#DIV/0!</v>
      </c>
      <c r="AS41" s="41" t="e">
        <f>$AE$36*$AE$37/(2*$X41)*($AG41*AO41-$AH41*AQ41)</f>
        <v>#DIV/0!</v>
      </c>
      <c r="AT41" s="41" t="str">
        <f>IF(X41="","",(AR41-AS41)*100)</f>
        <v/>
      </c>
      <c r="AU41" s="41"/>
      <c r="AW41" s="41"/>
    </row>
    <row r="42" spans="1:49" ht="13.5" customHeight="1" thickBot="1" x14ac:dyDescent="0.25">
      <c r="A42" s="4"/>
      <c r="B42" s="67" t="s">
        <v>54</v>
      </c>
      <c r="F42" s="8"/>
      <c r="G42" s="4"/>
      <c r="I42" s="20">
        <f>E29</f>
        <v>2.5</v>
      </c>
      <c r="J42" s="20">
        <f>IF(AND(G$27="Si",B$23="Transitoria a corto plazo (sin drenaje)"),MIN(2*$J30,($J31-$J30)/($I31-$I30)*($C32+I42/4)+$J30),$H24)</f>
        <v>0</v>
      </c>
      <c r="K42" s="20">
        <f>IF($B$37="No",$H34+MAX(0,MIN($B35-$C32,I42))/I42*($H35-$H34),$H34-$D37*10)</f>
        <v>18</v>
      </c>
      <c r="M42" s="8"/>
      <c r="P42" s="4"/>
      <c r="V42" s="191" t="s">
        <v>136</v>
      </c>
      <c r="W42" s="192">
        <f>SUM(W37:W41)</f>
        <v>10</v>
      </c>
      <c r="AB42" s="8"/>
      <c r="AE42" s="21"/>
      <c r="AK42" s="41"/>
      <c r="AL42" s="41"/>
      <c r="AM42" s="41"/>
      <c r="AN42" s="41"/>
      <c r="AO42" s="41"/>
      <c r="AR42" s="41"/>
      <c r="AS42" s="41" t="s">
        <v>93</v>
      </c>
      <c r="AT42" s="149">
        <f>SUM(AT37:AT41)</f>
        <v>2.5000000000000004</v>
      </c>
      <c r="AU42" s="41" t="s">
        <v>74</v>
      </c>
      <c r="AV42" s="41"/>
    </row>
    <row r="43" spans="1:49" ht="13.5" customHeight="1" thickBot="1" x14ac:dyDescent="0.25">
      <c r="A43" s="4"/>
      <c r="F43" s="8"/>
      <c r="G43" s="4"/>
      <c r="I43" s="20">
        <f>F29</f>
        <v>3</v>
      </c>
      <c r="J43" s="20">
        <f>IF(AND(G$27="Si",B$23="Transitoria a corto plazo (sin drenaje)"),MIN(2*$J30,($J31-$J30)/($I31-$I30)*($C32+I43/4)+$J30),$H24)</f>
        <v>0</v>
      </c>
      <c r="K43" s="20">
        <f>IF($B$37="No",$H34+MAX(0,MIN($B35-$C32,I43))/I43*($H35-$H34),$H34-$D37*10)</f>
        <v>18</v>
      </c>
      <c r="M43" s="8"/>
      <c r="P43" s="6"/>
      <c r="Q43" s="6"/>
      <c r="R43" s="6"/>
      <c r="S43" s="6"/>
      <c r="T43" s="6"/>
      <c r="U43" s="6"/>
      <c r="V43" s="200"/>
      <c r="W43" s="201"/>
      <c r="X43" s="6"/>
      <c r="Y43" s="6"/>
      <c r="Z43" s="6"/>
      <c r="AA43" s="6"/>
      <c r="AB43" s="6"/>
    </row>
    <row r="44" spans="1:49" ht="13.5" customHeight="1" thickBot="1" x14ac:dyDescent="0.25">
      <c r="A44" s="4"/>
      <c r="B44" t="s">
        <v>56</v>
      </c>
      <c r="F44" s="133"/>
      <c r="G44" s="4"/>
      <c r="J44" s="127"/>
      <c r="K44" s="127"/>
      <c r="L44" s="127"/>
      <c r="M44" s="8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1:49" ht="12.75" customHeight="1" thickBot="1" x14ac:dyDescent="0.25">
      <c r="A45" s="4"/>
      <c r="B45" s="155" t="s">
        <v>39</v>
      </c>
      <c r="F45" s="8"/>
      <c r="G45" s="134" t="s">
        <v>112</v>
      </c>
      <c r="J45" s="127"/>
      <c r="K45" s="127"/>
      <c r="L45" s="127"/>
      <c r="M45" s="8"/>
      <c r="P45" s="14" t="s">
        <v>124</v>
      </c>
      <c r="Q45" s="11"/>
      <c r="R45" s="12"/>
      <c r="S45" s="11"/>
      <c r="T45" s="12"/>
      <c r="U45" s="12"/>
      <c r="V45" s="12"/>
      <c r="W45" s="11"/>
      <c r="X45" s="12"/>
      <c r="Y45" s="11"/>
      <c r="Z45" s="12"/>
      <c r="AA45" s="12"/>
      <c r="AB45" s="13"/>
    </row>
    <row r="46" spans="1:49" ht="16.5" customHeight="1" x14ac:dyDescent="0.3">
      <c r="A46" s="4"/>
      <c r="B46" s="216" t="s">
        <v>55</v>
      </c>
      <c r="C46" s="216"/>
      <c r="D46" s="216"/>
      <c r="E46" s="216"/>
      <c r="F46" s="217"/>
      <c r="G46" s="45" t="s">
        <v>52</v>
      </c>
      <c r="H46" s="66"/>
      <c r="I46" s="160" t="s">
        <v>140</v>
      </c>
      <c r="J46" s="63" t="s">
        <v>113</v>
      </c>
      <c r="K46" s="158">
        <v>18</v>
      </c>
      <c r="L46" t="s">
        <v>22</v>
      </c>
      <c r="M46" s="8"/>
      <c r="P46" s="4"/>
      <c r="Q46" s="30" t="s">
        <v>79</v>
      </c>
      <c r="R46" s="89"/>
      <c r="AB46" s="8"/>
      <c r="AE46" s="41"/>
      <c r="AG46" s="41"/>
    </row>
    <row r="47" spans="1:49" ht="14.25" customHeight="1" thickBot="1" x14ac:dyDescent="0.25">
      <c r="A47" s="4"/>
      <c r="B47" s="216"/>
      <c r="C47" s="216"/>
      <c r="D47" s="216"/>
      <c r="E47" s="216"/>
      <c r="F47" s="217"/>
      <c r="J47" t="s">
        <v>114</v>
      </c>
      <c r="K47" s="157">
        <v>0.5</v>
      </c>
      <c r="L47" t="s">
        <v>11</v>
      </c>
      <c r="M47" s="8"/>
      <c r="O47" s="41"/>
      <c r="P47" s="4"/>
      <c r="Q47" s="172">
        <v>5</v>
      </c>
      <c r="R47" s="173" t="s">
        <v>74</v>
      </c>
      <c r="AB47" s="8"/>
    </row>
    <row r="48" spans="1:49" ht="14.25" customHeight="1" thickBot="1" x14ac:dyDescent="0.35">
      <c r="A48" s="4"/>
      <c r="B48" t="s">
        <v>53</v>
      </c>
      <c r="C48" s="149">
        <f>2*N41*H24</f>
        <v>0</v>
      </c>
      <c r="D48" t="s">
        <v>3</v>
      </c>
      <c r="F48" s="8"/>
      <c r="J48" t="s">
        <v>23</v>
      </c>
      <c r="K48" s="150">
        <f>IF(I46="Si",K46*K47,0)</f>
        <v>9</v>
      </c>
      <c r="L48" t="s">
        <v>3</v>
      </c>
      <c r="M48" s="8"/>
      <c r="O48" s="41"/>
      <c r="P48" s="4"/>
    </row>
    <row r="49" spans="1:42" ht="14.25" customHeight="1" x14ac:dyDescent="0.2">
      <c r="A49" s="4"/>
      <c r="F49" s="8"/>
      <c r="G49" s="220" t="s">
        <v>115</v>
      </c>
      <c r="H49" s="214"/>
      <c r="I49" s="214"/>
      <c r="J49" s="214"/>
      <c r="K49" s="214"/>
      <c r="L49" s="214"/>
      <c r="M49" s="215"/>
      <c r="O49" s="41"/>
      <c r="P49" s="4"/>
      <c r="Q49" s="207" t="s">
        <v>48</v>
      </c>
      <c r="R49" s="86" t="s">
        <v>50</v>
      </c>
      <c r="S49" s="96"/>
      <c r="T49" s="86" t="s">
        <v>49</v>
      </c>
      <c r="U49" s="96"/>
      <c r="V49" s="197"/>
      <c r="AC49" s="41"/>
      <c r="AE49" s="41"/>
    </row>
    <row r="50" spans="1:42" ht="14.25" customHeight="1" x14ac:dyDescent="0.2">
      <c r="A50" s="4"/>
      <c r="B50" s="10" t="s">
        <v>116</v>
      </c>
      <c r="C50" s="21"/>
      <c r="F50" s="8"/>
      <c r="G50" s="220"/>
      <c r="H50" s="214"/>
      <c r="I50" s="214"/>
      <c r="J50" s="214"/>
      <c r="K50" s="214"/>
      <c r="L50" s="214"/>
      <c r="M50" s="215"/>
      <c r="O50" s="41"/>
      <c r="P50" s="4"/>
      <c r="Q50" s="208"/>
      <c r="R50" s="116" t="s">
        <v>14</v>
      </c>
      <c r="S50" s="120"/>
      <c r="T50" s="90" t="s">
        <v>14</v>
      </c>
      <c r="U50" s="97"/>
      <c r="V50" s="198" t="s">
        <v>137</v>
      </c>
    </row>
    <row r="51" spans="1:42" ht="14.25" customHeight="1" x14ac:dyDescent="0.2">
      <c r="A51" s="4"/>
      <c r="B51" s="209" t="s">
        <v>138</v>
      </c>
      <c r="C51" s="209"/>
      <c r="E51" s="65"/>
      <c r="F51" s="8"/>
      <c r="G51" s="4"/>
      <c r="L51" s="25"/>
      <c r="M51" s="8"/>
      <c r="O51" s="41"/>
      <c r="P51" s="4"/>
      <c r="Q51" s="112" t="s">
        <v>11</v>
      </c>
      <c r="R51" s="117" t="s">
        <v>0</v>
      </c>
      <c r="S51" s="120"/>
      <c r="T51" s="108" t="s">
        <v>0</v>
      </c>
      <c r="U51" s="202"/>
      <c r="V51" s="199"/>
      <c r="AC51" s="21"/>
      <c r="AD51" s="21"/>
    </row>
    <row r="52" spans="1:42" ht="14.25" customHeight="1" x14ac:dyDescent="0.3">
      <c r="A52" s="4"/>
      <c r="B52" s="63" t="s">
        <v>117</v>
      </c>
      <c r="C52">
        <f>IF(B51="Situación extraordinaria",2,3)</f>
        <v>3</v>
      </c>
      <c r="E52" s="21"/>
      <c r="F52" s="138"/>
      <c r="G52" s="134" t="s">
        <v>51</v>
      </c>
      <c r="H52" s="66"/>
      <c r="I52" s="66"/>
      <c r="L52" s="25"/>
      <c r="M52" s="8"/>
      <c r="O52" s="41"/>
      <c r="P52" s="4"/>
      <c r="Q52" s="31">
        <f>B88</f>
        <v>1.5</v>
      </c>
      <c r="R52" s="195">
        <v>0.92635610488778375</v>
      </c>
      <c r="S52" s="174"/>
      <c r="T52" s="195">
        <v>0.87765430907225706</v>
      </c>
      <c r="U52" s="203"/>
      <c r="V52" s="36" t="str">
        <f>IF(W$42&gt;2*Q52,"SI","NO")</f>
        <v>SI</v>
      </c>
      <c r="AF52" s="21"/>
      <c r="AG52" s="21"/>
      <c r="AH52" s="115"/>
      <c r="AI52" s="41"/>
      <c r="AK52" s="41"/>
      <c r="AL52" s="41"/>
      <c r="AN52" s="41"/>
      <c r="AO52" s="115"/>
      <c r="AP52" s="41"/>
    </row>
    <row r="53" spans="1:42" ht="14.25" customHeight="1" x14ac:dyDescent="0.2">
      <c r="A53" s="4"/>
      <c r="F53" s="8"/>
      <c r="G53" s="45" t="s">
        <v>52</v>
      </c>
      <c r="H53" s="66"/>
      <c r="I53" s="160" t="s">
        <v>39</v>
      </c>
      <c r="L53" s="25"/>
      <c r="M53" s="8"/>
      <c r="O53" s="41"/>
      <c r="P53" s="4"/>
      <c r="Q53" s="31">
        <f>B89</f>
        <v>1.8</v>
      </c>
      <c r="R53" s="195">
        <v>0.87425041291795047</v>
      </c>
      <c r="S53" s="174"/>
      <c r="T53" s="195">
        <v>0.8519097388978677</v>
      </c>
      <c r="U53" s="203"/>
      <c r="V53" s="36" t="str">
        <f>IF(W$42&gt;2*Q53,"SI","NO")</f>
        <v>SI</v>
      </c>
      <c r="AD53" s="21"/>
      <c r="AJ53" s="41"/>
      <c r="AK53" s="41"/>
      <c r="AL53" s="41"/>
      <c r="AM53" s="41"/>
      <c r="AN53" s="41"/>
    </row>
    <row r="54" spans="1:42" ht="14.25" customHeight="1" x14ac:dyDescent="0.2">
      <c r="A54" s="4"/>
      <c r="F54" s="8"/>
      <c r="G54" s="142" t="s">
        <v>28</v>
      </c>
      <c r="L54" s="25"/>
      <c r="M54" s="8"/>
      <c r="O54" s="41"/>
      <c r="P54" s="4"/>
      <c r="Q54" s="31">
        <f>B90</f>
        <v>2</v>
      </c>
      <c r="R54" s="195">
        <v>0.8519097388978677</v>
      </c>
      <c r="S54" s="174"/>
      <c r="T54" s="195">
        <v>0.84146260414038465</v>
      </c>
      <c r="U54" s="203"/>
      <c r="V54" s="36" t="str">
        <f>IF(W$42&gt;2*Q54,"SI","NO")</f>
        <v>SI</v>
      </c>
    </row>
    <row r="55" spans="1:42" ht="14.25" customHeight="1" x14ac:dyDescent="0.2">
      <c r="A55" s="4"/>
      <c r="F55" s="8"/>
      <c r="G55" s="143" t="s">
        <v>120</v>
      </c>
      <c r="H55" s="21"/>
      <c r="L55" s="25"/>
      <c r="M55" s="8"/>
      <c r="O55" s="41"/>
      <c r="P55" s="4"/>
      <c r="Q55" s="31">
        <f>B91</f>
        <v>2.5</v>
      </c>
      <c r="R55" s="195">
        <v>0.82092318403867515</v>
      </c>
      <c r="S55" s="174"/>
      <c r="T55" s="195">
        <v>0.82855879770954122</v>
      </c>
      <c r="U55" s="203"/>
      <c r="V55" s="36" t="str">
        <f>IF(W$42&gt;2*Q55,"SI","NO")</f>
        <v>SI</v>
      </c>
    </row>
    <row r="56" spans="1:42" ht="13.5" thickBot="1" x14ac:dyDescent="0.25">
      <c r="A56" s="4"/>
      <c r="F56" s="133"/>
      <c r="G56" s="143" t="s">
        <v>31</v>
      </c>
      <c r="J56" s="132"/>
      <c r="K56" s="132"/>
      <c r="L56" s="132"/>
      <c r="M56" s="8"/>
      <c r="P56" s="4"/>
      <c r="Q56" s="33">
        <f>B92</f>
        <v>3</v>
      </c>
      <c r="R56" s="196">
        <v>0.80870058903087527</v>
      </c>
      <c r="S56" s="175"/>
      <c r="T56" s="196">
        <v>0.82567219219510746</v>
      </c>
      <c r="U56" s="204"/>
      <c r="V56" s="37" t="str">
        <f>IF(W$42&gt;2*Q56,"SI","NO")</f>
        <v>SI</v>
      </c>
      <c r="AB56" s="8"/>
    </row>
    <row r="57" spans="1:42" x14ac:dyDescent="0.2">
      <c r="A57" s="4"/>
      <c r="E57" s="132"/>
      <c r="F57" s="133"/>
      <c r="G57" s="143" t="s">
        <v>29</v>
      </c>
      <c r="J57" s="132"/>
      <c r="K57" s="132"/>
      <c r="L57" s="132"/>
      <c r="M57" s="8"/>
      <c r="P57" s="4"/>
      <c r="AB57" s="8"/>
    </row>
    <row r="58" spans="1:42" ht="12.75" customHeight="1" x14ac:dyDescent="0.2">
      <c r="A58" s="4"/>
      <c r="F58" s="8"/>
      <c r="G58" s="143" t="s">
        <v>30</v>
      </c>
      <c r="J58" s="66"/>
      <c r="K58" s="66"/>
      <c r="L58" s="25"/>
      <c r="M58" s="8"/>
      <c r="P58" s="4"/>
      <c r="AB58" s="8"/>
    </row>
    <row r="59" spans="1:42" ht="12.75" customHeight="1" thickBot="1" x14ac:dyDescent="0.25">
      <c r="A59" s="5"/>
      <c r="B59" s="6"/>
      <c r="C59" s="6"/>
      <c r="D59" s="6"/>
      <c r="E59" s="6"/>
      <c r="F59" s="9"/>
      <c r="G59" s="144"/>
      <c r="H59" s="145"/>
      <c r="I59" s="145"/>
      <c r="J59" s="145"/>
      <c r="K59" s="145"/>
      <c r="L59" s="146"/>
      <c r="M59" s="9"/>
      <c r="N59" s="40"/>
      <c r="P59" s="4"/>
      <c r="AB59" s="8"/>
    </row>
    <row r="60" spans="1:42" ht="12.75" customHeight="1" thickBot="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40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42" ht="12.75" customHeight="1" x14ac:dyDescent="0.2">
      <c r="A61" s="14" t="s">
        <v>26</v>
      </c>
      <c r="B61" s="11"/>
      <c r="C61" s="12"/>
      <c r="D61" s="11"/>
      <c r="E61" s="12"/>
      <c r="F61" s="12"/>
      <c r="G61" s="12"/>
      <c r="H61" s="11"/>
      <c r="I61" s="12"/>
      <c r="J61" s="11"/>
      <c r="K61" s="12"/>
      <c r="L61" s="12"/>
      <c r="M61" s="3"/>
      <c r="N61" s="40"/>
      <c r="P61" s="147" t="s">
        <v>123</v>
      </c>
      <c r="Q61" s="11"/>
      <c r="R61" s="12"/>
      <c r="S61" s="11"/>
      <c r="T61" s="12"/>
      <c r="U61" s="12"/>
      <c r="V61" s="12"/>
      <c r="W61" s="11"/>
      <c r="X61" s="12"/>
      <c r="Y61" s="11"/>
      <c r="Z61" s="12"/>
      <c r="AA61" s="12"/>
      <c r="AB61" s="13"/>
    </row>
    <row r="62" spans="1:42" ht="12.75" customHeight="1" thickBot="1" x14ac:dyDescent="0.25">
      <c r="A62" s="4"/>
      <c r="M62" s="8"/>
      <c r="P62" s="4"/>
      <c r="Q62" s="10"/>
      <c r="AB62" s="8"/>
    </row>
    <row r="63" spans="1:42" ht="13.5" thickBot="1" x14ac:dyDescent="0.25">
      <c r="A63" s="4"/>
      <c r="C63" s="51" t="s">
        <v>42</v>
      </c>
      <c r="D63" s="52"/>
      <c r="E63" s="52"/>
      <c r="F63" s="52"/>
      <c r="G63" s="52"/>
      <c r="H63" s="59" t="s">
        <v>43</v>
      </c>
      <c r="I63" s="53"/>
      <c r="J63" s="52"/>
      <c r="K63" s="52"/>
      <c r="L63" s="54"/>
      <c r="M63" s="8"/>
      <c r="P63" s="4"/>
      <c r="T63" s="207" t="s">
        <v>48</v>
      </c>
      <c r="U63" s="86" t="s">
        <v>50</v>
      </c>
      <c r="V63" s="96"/>
      <c r="W63" s="86" t="s">
        <v>49</v>
      </c>
      <c r="X63" s="89"/>
      <c r="AB63" s="8"/>
    </row>
    <row r="64" spans="1:42" ht="12.75" customHeight="1" x14ac:dyDescent="0.2">
      <c r="A64" s="4"/>
      <c r="B64" s="60" t="s">
        <v>57</v>
      </c>
      <c r="C64" s="73">
        <f>B$29</f>
        <v>1.5</v>
      </c>
      <c r="D64" s="74">
        <f>C$29</f>
        <v>1.8</v>
      </c>
      <c r="E64" s="74">
        <f>D$29</f>
        <v>2</v>
      </c>
      <c r="F64" s="74">
        <f>E$29</f>
        <v>2.5</v>
      </c>
      <c r="G64" s="75">
        <f>F$29</f>
        <v>3</v>
      </c>
      <c r="H64" s="74">
        <f>B$29</f>
        <v>1.5</v>
      </c>
      <c r="I64" s="74">
        <f>C$29</f>
        <v>1.8</v>
      </c>
      <c r="J64" s="74">
        <f>D$29</f>
        <v>2</v>
      </c>
      <c r="K64" s="74">
        <f>E$29</f>
        <v>2.5</v>
      </c>
      <c r="L64" s="76">
        <f>F$29</f>
        <v>3</v>
      </c>
      <c r="M64" s="8"/>
      <c r="P64" s="4"/>
      <c r="T64" s="208"/>
      <c r="U64" s="90" t="s">
        <v>14</v>
      </c>
      <c r="V64" s="225" t="s">
        <v>80</v>
      </c>
      <c r="W64" s="90" t="s">
        <v>14</v>
      </c>
      <c r="X64" s="221" t="s">
        <v>80</v>
      </c>
      <c r="AB64" s="8"/>
    </row>
    <row r="65" spans="1:28" ht="12.75" customHeight="1" x14ac:dyDescent="0.2">
      <c r="A65" s="4"/>
      <c r="B65" s="50" t="s">
        <v>38</v>
      </c>
      <c r="C65" s="49"/>
      <c r="D65" s="46"/>
      <c r="E65" s="46"/>
      <c r="F65" s="46"/>
      <c r="G65" s="46"/>
      <c r="H65" s="46"/>
      <c r="I65" s="46"/>
      <c r="J65" s="46"/>
      <c r="K65" s="46"/>
      <c r="L65" s="47"/>
      <c r="M65" s="8"/>
      <c r="P65" s="4"/>
      <c r="T65" s="148" t="s">
        <v>11</v>
      </c>
      <c r="U65" s="107" t="s">
        <v>0</v>
      </c>
      <c r="V65" s="227"/>
      <c r="W65" s="107" t="s">
        <v>0</v>
      </c>
      <c r="X65" s="226"/>
      <c r="AB65" s="8"/>
    </row>
    <row r="66" spans="1:28" ht="12.75" customHeight="1" x14ac:dyDescent="0.3">
      <c r="A66" s="4"/>
      <c r="B66" s="55" t="s">
        <v>59</v>
      </c>
      <c r="C66" s="77">
        <f>IF($I53="Si",1+0.34*ATAN($C32/C64),1)</f>
        <v>1</v>
      </c>
      <c r="D66" s="77">
        <f>IF($I53="Si",1+0.34*ATAN($C32/D64),1)</f>
        <v>1</v>
      </c>
      <c r="E66" s="77">
        <f>IF($I53="Si",1+0.34*ATAN($C32/E64),1)</f>
        <v>1</v>
      </c>
      <c r="F66" s="77">
        <f>IF($I53="Si",1+0.34*ATAN($C32/F64),1)</f>
        <v>1</v>
      </c>
      <c r="G66" s="77">
        <f>IF($I53="Si",1+0.34*ATAN($C32/G64),1)</f>
        <v>1</v>
      </c>
      <c r="H66" s="78">
        <f>C66</f>
        <v>1</v>
      </c>
      <c r="I66" s="78">
        <f t="shared" ref="I66:L68" si="3">D66</f>
        <v>1</v>
      </c>
      <c r="J66" s="78">
        <f t="shared" si="3"/>
        <v>1</v>
      </c>
      <c r="K66" s="78">
        <f t="shared" si="3"/>
        <v>1</v>
      </c>
      <c r="L66" s="79">
        <f t="shared" si="3"/>
        <v>1</v>
      </c>
      <c r="M66" s="8"/>
      <c r="P66" s="4"/>
      <c r="T66" s="39">
        <f>B88</f>
        <v>1.5</v>
      </c>
      <c r="U66" s="32">
        <f>MIN(C88,R52)</f>
        <v>0.15048079832640052</v>
      </c>
      <c r="V66" s="19" t="str">
        <f>IF(R52&lt;C88,"Asientos","Hundimiento")</f>
        <v>Hundimiento</v>
      </c>
      <c r="W66" s="32">
        <f>MIN(E88,T52)</f>
        <v>0.12305872409075296</v>
      </c>
      <c r="X66" s="36" t="str">
        <f>IF(T52&lt;E88,"Asientos","Hundimiento")</f>
        <v>Hundimiento</v>
      </c>
      <c r="AB66" s="8"/>
    </row>
    <row r="67" spans="1:28" ht="12.75" customHeight="1" x14ac:dyDescent="0.3">
      <c r="A67" s="4"/>
      <c r="B67" s="56" t="s">
        <v>60</v>
      </c>
      <c r="C67" s="80">
        <f>IF($I53="Si",IF($H23&lt;1,1,1+2*$C76/$C75*(1-SIN($N23))^2*ATAN(MIN($C32,2*C64)/C64)),1)</f>
        <v>1</v>
      </c>
      <c r="D67" s="81">
        <f>IF($I53="Si",IF($H23&lt;1,1,1+2*$C76/$C75*(1-SIN($N23))^2*ATAN(MIN($C32,2*D64)/D64)),1)</f>
        <v>1</v>
      </c>
      <c r="E67" s="81">
        <f>IF($I53="Si",IF($H23&lt;1,1,1+2*$C76/$C75*(1-SIN($N23))^2*ATAN(MIN($C32,2*E64)/E64)),1)</f>
        <v>1</v>
      </c>
      <c r="F67" s="81">
        <f>IF($I53="Si",IF($H23&lt;1,1,1+2*$C76/$C75*(1-SIN($N23))^2*ATAN(MIN($C32,2*F64)/F64)),1)</f>
        <v>1</v>
      </c>
      <c r="G67" s="81">
        <f>IF($I53="Si",IF($H23&lt;1,1,1+2*$C76/$C75*(1-SIN($N23))^2*ATAN(MIN($C32,2*G64)/G64)),1)</f>
        <v>1</v>
      </c>
      <c r="H67" s="81">
        <f>C67</f>
        <v>1</v>
      </c>
      <c r="I67" s="81">
        <f t="shared" si="3"/>
        <v>1</v>
      </c>
      <c r="J67" s="81">
        <f t="shared" si="3"/>
        <v>1</v>
      </c>
      <c r="K67" s="81">
        <f t="shared" si="3"/>
        <v>1</v>
      </c>
      <c r="L67" s="82">
        <f t="shared" si="3"/>
        <v>1</v>
      </c>
      <c r="M67" s="8"/>
      <c r="P67" s="4"/>
      <c r="T67" s="39">
        <f>B89</f>
        <v>1.8</v>
      </c>
      <c r="U67" s="32">
        <f>MIN(C89,R53)</f>
        <v>0.15997478108072899</v>
      </c>
      <c r="V67" s="19" t="str">
        <f>IF(R53&lt;C89,"Asientos","Hundimiento")</f>
        <v>Hundimiento</v>
      </c>
      <c r="W67" s="32">
        <f>MIN(E89,T53)</f>
        <v>0.13662247164812505</v>
      </c>
      <c r="X67" s="36" t="str">
        <f>IF(T53&lt;E89,"Asientos","Hundimiento")</f>
        <v>Hundimiento</v>
      </c>
      <c r="AB67" s="8"/>
    </row>
    <row r="68" spans="1:28" ht="12.75" customHeight="1" x14ac:dyDescent="0.25">
      <c r="A68" s="4"/>
      <c r="B68" s="57" t="s">
        <v>61</v>
      </c>
      <c r="C68" s="83">
        <v>1</v>
      </c>
      <c r="D68" s="84">
        <v>1</v>
      </c>
      <c r="E68" s="84">
        <v>1</v>
      </c>
      <c r="F68" s="84">
        <v>1</v>
      </c>
      <c r="G68" s="84">
        <v>1</v>
      </c>
      <c r="H68" s="84">
        <f>C68</f>
        <v>1</v>
      </c>
      <c r="I68" s="84">
        <f t="shared" si="3"/>
        <v>1</v>
      </c>
      <c r="J68" s="84">
        <f t="shared" si="3"/>
        <v>1</v>
      </c>
      <c r="K68" s="84">
        <f t="shared" si="3"/>
        <v>1</v>
      </c>
      <c r="L68" s="85">
        <f t="shared" si="3"/>
        <v>1</v>
      </c>
      <c r="M68" s="8"/>
      <c r="N68" s="42"/>
      <c r="P68" s="4"/>
      <c r="T68" s="39">
        <f>B90</f>
        <v>2</v>
      </c>
      <c r="U68" s="32">
        <f>MIN(C90,R54)</f>
        <v>0.166304102916948</v>
      </c>
      <c r="V68" s="19" t="str">
        <f>IF(R54&lt;C90,"Asientos","Hundimiento")</f>
        <v>Hundimiento</v>
      </c>
      <c r="W68" s="32">
        <f>MIN(E90,T54)</f>
        <v>0.14566361373645578</v>
      </c>
      <c r="X68" s="36" t="str">
        <f>IF(T54&lt;E90,"Asientos","Hundimiento")</f>
        <v>Hundimiento</v>
      </c>
      <c r="AB68" s="8"/>
    </row>
    <row r="69" spans="1:28" ht="12.75" customHeight="1" x14ac:dyDescent="0.2">
      <c r="A69" s="4"/>
      <c r="B69" s="50" t="s">
        <v>58</v>
      </c>
      <c r="C69" s="49"/>
      <c r="D69" s="46"/>
      <c r="E69" s="46"/>
      <c r="F69" s="46"/>
      <c r="G69" s="46"/>
      <c r="H69" s="46"/>
      <c r="I69" s="46"/>
      <c r="J69" s="46"/>
      <c r="K69" s="46"/>
      <c r="L69" s="47"/>
      <c r="M69" s="8"/>
      <c r="P69" s="4"/>
      <c r="T69" s="39">
        <f>B91</f>
        <v>2.5</v>
      </c>
      <c r="U69" s="32">
        <f>MIN(C91,R55)</f>
        <v>0.18212740750749551</v>
      </c>
      <c r="V69" s="19" t="str">
        <f>IF(R55&lt;C91,"Asientos","Hundimiento")</f>
        <v>Hundimiento</v>
      </c>
      <c r="W69" s="32">
        <f>MIN(E91,T55)</f>
        <v>0.1682617219659055</v>
      </c>
      <c r="X69" s="36" t="str">
        <f>IF(T55&lt;E91,"Asientos","Hundimiento")</f>
        <v>Hundimiento</v>
      </c>
      <c r="AB69" s="8"/>
    </row>
    <row r="70" spans="1:28" ht="12.75" customHeight="1" thickBot="1" x14ac:dyDescent="0.35">
      <c r="A70" s="4"/>
      <c r="B70" s="55" t="s">
        <v>62</v>
      </c>
      <c r="C70" s="77">
        <v>1.2</v>
      </c>
      <c r="D70" s="77">
        <v>1.2</v>
      </c>
      <c r="E70" s="77">
        <v>1.2</v>
      </c>
      <c r="F70" s="77">
        <v>1.2</v>
      </c>
      <c r="G70" s="77">
        <v>1.2</v>
      </c>
      <c r="H70" s="78">
        <f>IF($B26="Circular",1.2,1+0.2*H64/$O22)</f>
        <v>1.0003</v>
      </c>
      <c r="I70" s="78">
        <f>IF($B26="Circular",1.2,1+0.2*I64/$O22)</f>
        <v>1.0003599999999999</v>
      </c>
      <c r="J70" s="78">
        <f>IF($B26="Circular",1.2,1+0.2*J64/$O22)</f>
        <v>1.0004</v>
      </c>
      <c r="K70" s="78">
        <f>IF($B26="Circular",1.2,1+0.2*K64/$O22)</f>
        <v>1.0004999999999999</v>
      </c>
      <c r="L70" s="79">
        <f>IF($B26="Circular",1.2,1+0.2*L64/$O22)</f>
        <v>1.0005999999999999</v>
      </c>
      <c r="M70" s="8"/>
      <c r="P70" s="4"/>
      <c r="T70" s="121">
        <f>B92</f>
        <v>3</v>
      </c>
      <c r="U70" s="35">
        <f>MIN(C92,R56)</f>
        <v>0.19795071209804305</v>
      </c>
      <c r="V70" s="34" t="str">
        <f>IF(R56&lt;C92,"Asientos","Hundimiento")</f>
        <v>Hundimiento</v>
      </c>
      <c r="W70" s="35">
        <f>MIN(E92,T56)</f>
        <v>0.19085304877910211</v>
      </c>
      <c r="X70" s="37" t="str">
        <f>IF(T56&lt;E92,"Asientos","Hundimiento")</f>
        <v>Hundimiento</v>
      </c>
      <c r="AB70" s="8"/>
    </row>
    <row r="71" spans="1:28" ht="12.75" customHeight="1" x14ac:dyDescent="0.3">
      <c r="A71" s="4"/>
      <c r="B71" s="56" t="s">
        <v>63</v>
      </c>
      <c r="C71" s="80">
        <f>IF($B26="Circular",1.2,1+1.5*TAN($N23))</f>
        <v>1.8660254037844386</v>
      </c>
      <c r="D71" s="80">
        <f>IF($B26="Circular",1.2,1+1.5*TAN($N23))</f>
        <v>1.8660254037844386</v>
      </c>
      <c r="E71" s="80">
        <f>IF($B26="Circular",1.2,1+1.5*TAN($N23))</f>
        <v>1.8660254037844386</v>
      </c>
      <c r="F71" s="80">
        <f>IF($B26="Circular",1.2,1+1.5*TAN($N23))</f>
        <v>1.8660254037844386</v>
      </c>
      <c r="G71" s="80">
        <f>IF($B26="Circular",1.2,1+1.5*TAN($N23))</f>
        <v>1.8660254037844386</v>
      </c>
      <c r="H71" s="81">
        <f>IF($B26="Circular",1.2,1+1.5*TAN($N23)*H64/$O22)</f>
        <v>1.0012990381056766</v>
      </c>
      <c r="I71" s="81">
        <f>IF($B26="Circular",1.2,1+1.5*TAN($N23)*I64/$O22)</f>
        <v>1.0015588457268121</v>
      </c>
      <c r="J71" s="81">
        <f>IF($B26="Circular",1.2,1+1.5*TAN($N23)*J64/$O22)</f>
        <v>1.0017320508075689</v>
      </c>
      <c r="K71" s="81">
        <f>IF($B26="Circular",1.2,1+1.5*TAN($N23)*K64/$O22)</f>
        <v>1.002165063509461</v>
      </c>
      <c r="L71" s="82">
        <f>IF($B26="Circular",1.2,1+1.5*TAN($N23)*L64/$O22)</f>
        <v>1.0025980762113533</v>
      </c>
      <c r="M71" s="8"/>
      <c r="P71" s="4"/>
      <c r="AB71" s="8"/>
    </row>
    <row r="72" spans="1:28" ht="12.75" customHeight="1" thickBot="1" x14ac:dyDescent="0.3">
      <c r="A72" s="4"/>
      <c r="B72" s="57" t="s">
        <v>64</v>
      </c>
      <c r="C72" s="83">
        <v>0.7</v>
      </c>
      <c r="D72" s="83">
        <v>0.7</v>
      </c>
      <c r="E72" s="83">
        <v>0.7</v>
      </c>
      <c r="F72" s="83">
        <v>0.7</v>
      </c>
      <c r="G72" s="83">
        <v>0.7</v>
      </c>
      <c r="H72" s="84">
        <f>IF($B26="Circular",0.6,1-0.3*H64/$O22)</f>
        <v>0.99955000000000005</v>
      </c>
      <c r="I72" s="84">
        <f>IF($B26="Circular",0.6,1-0.3*I64/$O22)</f>
        <v>0.99946000000000002</v>
      </c>
      <c r="J72" s="84">
        <f>IF($B26="Circular",0.6,1-0.3*J64/$O22)</f>
        <v>0.99939999999999996</v>
      </c>
      <c r="K72" s="84">
        <f>IF($B26="Circular",0.6,1-0.3*K64/$O22)</f>
        <v>0.99924999999999997</v>
      </c>
      <c r="L72" s="85">
        <f>IF($B26="Circular",0.6,1-0.3*L64/$O22)</f>
        <v>0.99909999999999999</v>
      </c>
      <c r="M72" s="8"/>
    </row>
    <row r="73" spans="1:28" ht="12.75" customHeight="1" thickBot="1" x14ac:dyDescent="0.25">
      <c r="A73" s="4"/>
      <c r="B73" s="69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8"/>
    </row>
    <row r="74" spans="1:28" ht="28.5" customHeight="1" x14ac:dyDescent="0.2">
      <c r="A74" s="4"/>
      <c r="B74" s="222" t="s">
        <v>119</v>
      </c>
      <c r="C74" s="224"/>
      <c r="E74" s="222" t="s">
        <v>41</v>
      </c>
      <c r="F74" s="223"/>
      <c r="G74" s="222" t="s">
        <v>118</v>
      </c>
      <c r="H74" s="223"/>
      <c r="I74" s="223"/>
      <c r="J74" s="223"/>
      <c r="K74" s="223"/>
      <c r="L74" s="224"/>
      <c r="M74" s="8"/>
    </row>
    <row r="75" spans="1:28" ht="13.5" customHeight="1" x14ac:dyDescent="0.3">
      <c r="A75" s="4"/>
      <c r="B75" s="62" t="s">
        <v>68</v>
      </c>
      <c r="C75" s="135">
        <f>IF(H23=0,PI()+2,1/TAN(N23)*(C76-1))</f>
        <v>30.139627791519086</v>
      </c>
      <c r="E75" s="61" t="s">
        <v>65</v>
      </c>
      <c r="F75" s="70">
        <f>IF(B45="Si",1,EXP(-2*N41*TAN(N23)))</f>
        <v>1</v>
      </c>
      <c r="G75" s="45"/>
      <c r="L75" s="8"/>
      <c r="M75" s="8"/>
    </row>
    <row r="76" spans="1:28" ht="13.5" customHeight="1" x14ac:dyDescent="0.3">
      <c r="A76" s="4"/>
      <c r="B76" s="4" t="s">
        <v>69</v>
      </c>
      <c r="C76" s="136">
        <f>(TAN(PI()/4+N23/2))^2*EXP(PI()*TAN(N23))</f>
        <v>18.401122218708668</v>
      </c>
      <c r="E76" s="45" t="s">
        <v>66</v>
      </c>
      <c r="F76" s="71">
        <f>IF(B45="Si",1,1-SIN(2*N41))</f>
        <v>1</v>
      </c>
      <c r="G76" s="4"/>
      <c r="L76" s="8"/>
      <c r="M76" s="8"/>
    </row>
    <row r="77" spans="1:28" ht="13.5" customHeight="1" thickBot="1" x14ac:dyDescent="0.3">
      <c r="A77" s="4"/>
      <c r="B77" s="5" t="s">
        <v>70</v>
      </c>
      <c r="C77" s="137">
        <f>1.5*(C76-1)*TAN(N23)</f>
        <v>15.069813895759541</v>
      </c>
      <c r="E77" s="58" t="s">
        <v>67</v>
      </c>
      <c r="F77" s="72">
        <f>IF(B45="Si",1,1-SIN(2*N41))</f>
        <v>1</v>
      </c>
      <c r="G77" s="5"/>
      <c r="H77" s="6"/>
      <c r="I77" s="6"/>
      <c r="J77" s="6"/>
      <c r="K77" s="6"/>
      <c r="L77" s="9"/>
      <c r="M77" s="8"/>
    </row>
    <row r="78" spans="1:28" ht="12.75" customHeight="1" thickBot="1" x14ac:dyDescent="0.25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9"/>
    </row>
    <row r="79" spans="1:28" ht="12.75" customHeight="1" thickBot="1" x14ac:dyDescent="0.25"/>
    <row r="80" spans="1:28" ht="12.75" customHeight="1" x14ac:dyDescent="0.2">
      <c r="A80" s="14" t="s">
        <v>47</v>
      </c>
      <c r="B80" s="11"/>
      <c r="C80" s="12"/>
      <c r="D80" s="11"/>
      <c r="E80" s="12"/>
      <c r="F80" s="12"/>
      <c r="G80" s="12"/>
      <c r="H80" s="11"/>
      <c r="I80" s="12"/>
      <c r="J80" s="11"/>
      <c r="K80" s="12"/>
      <c r="L80" s="12"/>
      <c r="M80" s="3"/>
    </row>
    <row r="81" spans="1:28" ht="12.75" customHeight="1" x14ac:dyDescent="0.2">
      <c r="A81" s="4"/>
      <c r="M81" s="8"/>
    </row>
    <row r="82" spans="1:28" ht="12.75" customHeight="1" x14ac:dyDescent="0.2">
      <c r="A82" s="4"/>
      <c r="M82" s="8"/>
    </row>
    <row r="83" spans="1:28" ht="12.75" customHeight="1" x14ac:dyDescent="0.2">
      <c r="A83" s="4"/>
      <c r="M83" s="8"/>
      <c r="P83" s="4"/>
      <c r="AB83" s="8"/>
    </row>
    <row r="84" spans="1:28" ht="26.25" customHeight="1" thickBot="1" x14ac:dyDescent="0.25">
      <c r="A84" s="4"/>
      <c r="M84" s="8"/>
      <c r="P84" s="4"/>
      <c r="AB84" s="8"/>
    </row>
    <row r="85" spans="1:28" ht="12.75" customHeight="1" thickBot="1" x14ac:dyDescent="0.25">
      <c r="A85" s="4"/>
      <c r="B85" s="207" t="s">
        <v>48</v>
      </c>
      <c r="C85" s="86" t="s">
        <v>50</v>
      </c>
      <c r="D85" s="96"/>
      <c r="E85" s="86" t="s">
        <v>49</v>
      </c>
      <c r="F85" s="89"/>
      <c r="M85" s="8"/>
      <c r="P85" s="4"/>
      <c r="AB85" s="8"/>
    </row>
    <row r="86" spans="1:28" ht="15.75" customHeight="1" thickBot="1" x14ac:dyDescent="0.25">
      <c r="A86" s="4"/>
      <c r="B86" s="208"/>
      <c r="C86" s="90" t="s">
        <v>14</v>
      </c>
      <c r="D86" s="97"/>
      <c r="E86" s="90" t="s">
        <v>14</v>
      </c>
      <c r="F86" s="91"/>
      <c r="M86" s="8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2.75" customHeight="1" thickBot="1" x14ac:dyDescent="0.3">
      <c r="A87" s="4"/>
      <c r="B87" s="43" t="s">
        <v>11</v>
      </c>
      <c r="C87" s="94" t="s">
        <v>0</v>
      </c>
      <c r="D87" s="98"/>
      <c r="E87" s="94" t="s">
        <v>0</v>
      </c>
      <c r="F87" s="95"/>
      <c r="M87" s="8"/>
      <c r="P87" s="15" t="s">
        <v>133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7"/>
    </row>
    <row r="88" spans="1:28" ht="12.75" customHeight="1" thickBot="1" x14ac:dyDescent="0.25">
      <c r="A88" s="4"/>
      <c r="B88" s="39">
        <f>B29</f>
        <v>1.5</v>
      </c>
      <c r="C88" s="92">
        <f>C98/C52/1000</f>
        <v>0.15048079832640052</v>
      </c>
      <c r="D88" s="99"/>
      <c r="E88" s="92">
        <f>H98/C52/1000</f>
        <v>0.12305872409075296</v>
      </c>
      <c r="F88" s="93"/>
      <c r="M88" s="8"/>
      <c r="P88" s="4"/>
      <c r="AB88" s="8"/>
    </row>
    <row r="89" spans="1:28" ht="12.75" customHeight="1" x14ac:dyDescent="0.2">
      <c r="A89" s="4"/>
      <c r="B89" s="31">
        <f>C29</f>
        <v>1.8</v>
      </c>
      <c r="C89" s="87">
        <f>D98/C52/1000</f>
        <v>0.15997478108072899</v>
      </c>
      <c r="D89" s="100"/>
      <c r="E89" s="87">
        <f>I98/C52/1000</f>
        <v>0.13662247164812505</v>
      </c>
      <c r="F89" s="28"/>
      <c r="M89" s="8"/>
      <c r="P89" s="4"/>
      <c r="T89" s="207" t="s">
        <v>48</v>
      </c>
      <c r="U89" s="86" t="s">
        <v>50</v>
      </c>
      <c r="V89" s="96"/>
      <c r="W89" s="86" t="s">
        <v>49</v>
      </c>
      <c r="X89" s="89"/>
      <c r="AB89" s="8"/>
    </row>
    <row r="90" spans="1:28" ht="12.75" customHeight="1" x14ac:dyDescent="0.2">
      <c r="A90" s="4"/>
      <c r="B90" s="31">
        <f>D29</f>
        <v>2</v>
      </c>
      <c r="C90" s="87">
        <f>E98/C52/1000</f>
        <v>0.166304102916948</v>
      </c>
      <c r="D90" s="100"/>
      <c r="E90" s="87">
        <f>J98/C52/1000</f>
        <v>0.14566361373645578</v>
      </c>
      <c r="F90" s="28"/>
      <c r="M90" s="8"/>
      <c r="P90" s="4"/>
      <c r="T90" s="208"/>
      <c r="U90" s="176" t="s">
        <v>130</v>
      </c>
      <c r="V90" s="180" t="s">
        <v>134</v>
      </c>
      <c r="W90" s="182" t="s">
        <v>131</v>
      </c>
      <c r="X90" s="183" t="s">
        <v>134</v>
      </c>
      <c r="AB90" s="8"/>
    </row>
    <row r="91" spans="1:28" ht="12.75" customHeight="1" x14ac:dyDescent="0.2">
      <c r="A91" s="4"/>
      <c r="B91" s="31">
        <f>E29</f>
        <v>2.5</v>
      </c>
      <c r="C91" s="87">
        <f>F98/C52/1000</f>
        <v>0.18212740750749551</v>
      </c>
      <c r="D91" s="100"/>
      <c r="E91" s="87">
        <f>K98/C52/1000</f>
        <v>0.1682617219659055</v>
      </c>
      <c r="F91" s="28"/>
      <c r="M91" s="8"/>
      <c r="P91" s="4"/>
      <c r="T91" s="112" t="s">
        <v>11</v>
      </c>
      <c r="U91" s="177" t="s">
        <v>132</v>
      </c>
      <c r="V91" s="181" t="s">
        <v>132</v>
      </c>
      <c r="W91" s="109" t="s">
        <v>132</v>
      </c>
      <c r="X91" s="184" t="s">
        <v>132</v>
      </c>
      <c r="AB91" s="8"/>
    </row>
    <row r="92" spans="1:28" ht="12.75" customHeight="1" thickBot="1" x14ac:dyDescent="0.25">
      <c r="A92" s="4"/>
      <c r="B92" s="33">
        <f>F29</f>
        <v>3</v>
      </c>
      <c r="C92" s="88">
        <f>G98/C52/1000</f>
        <v>0.19795071209804305</v>
      </c>
      <c r="D92" s="101"/>
      <c r="E92" s="88">
        <f>L98/C52/1000</f>
        <v>0.19085304877910211</v>
      </c>
      <c r="F92" s="29"/>
      <c r="M92" s="8"/>
      <c r="P92" s="4"/>
      <c r="T92" s="31">
        <f>Q52</f>
        <v>1.5</v>
      </c>
      <c r="U92" s="178">
        <f>R52/($Q$47/100)</f>
        <v>18.527122097755672</v>
      </c>
      <c r="V92" s="110">
        <f>U92*T92/0.3</f>
        <v>92.635610488778369</v>
      </c>
      <c r="W92" s="178">
        <f>T52/($Q$47/100)</f>
        <v>17.553086181445138</v>
      </c>
      <c r="X92" s="185">
        <f>W92*T92/0.3</f>
        <v>87.765430907225692</v>
      </c>
      <c r="AB92" s="8"/>
    </row>
    <row r="93" spans="1:28" ht="12.75" customHeight="1" x14ac:dyDescent="0.2">
      <c r="A93" s="4"/>
      <c r="M93" s="8"/>
      <c r="P93" s="4"/>
      <c r="T93" s="31">
        <f>Q53</f>
        <v>1.8</v>
      </c>
      <c r="U93" s="178">
        <f>R53/($Q$47/100)</f>
        <v>17.485008258359009</v>
      </c>
      <c r="V93" s="110">
        <f>U93*T93/0.3</f>
        <v>104.91004955015406</v>
      </c>
      <c r="W93" s="178">
        <f>T53/($Q$47/100)</f>
        <v>17.038194777957354</v>
      </c>
      <c r="X93" s="185">
        <f>W93*T93/0.3</f>
        <v>102.22916866774413</v>
      </c>
      <c r="AB93" s="8"/>
    </row>
    <row r="94" spans="1:28" ht="12.75" customHeight="1" x14ac:dyDescent="0.2">
      <c r="A94" s="4"/>
      <c r="M94" s="8"/>
      <c r="P94" s="4"/>
      <c r="T94" s="31">
        <f>Q54</f>
        <v>2</v>
      </c>
      <c r="U94" s="178">
        <f>R54/($Q$47/100)</f>
        <v>17.038194777957354</v>
      </c>
      <c r="V94" s="110">
        <f>U94*T94/0.3</f>
        <v>113.58796518638236</v>
      </c>
      <c r="W94" s="178">
        <f>T54/($Q$47/100)</f>
        <v>16.829252082807692</v>
      </c>
      <c r="X94" s="185">
        <f>W94*T94/0.3</f>
        <v>112.19501388538461</v>
      </c>
      <c r="AB94" s="8"/>
    </row>
    <row r="95" spans="1:28" ht="12.75" customHeight="1" x14ac:dyDescent="0.2">
      <c r="A95" s="4"/>
      <c r="M95" s="8"/>
      <c r="P95" s="4"/>
      <c r="T95" s="31">
        <f>Q55</f>
        <v>2.5</v>
      </c>
      <c r="U95" s="178">
        <f>R55/($Q$47/100)</f>
        <v>16.418463680773502</v>
      </c>
      <c r="V95" s="110">
        <f>U95*T95/0.3</f>
        <v>136.82053067311253</v>
      </c>
      <c r="W95" s="178">
        <f>T55/($Q$47/100)</f>
        <v>16.571175954190824</v>
      </c>
      <c r="X95" s="185">
        <f>W95*T95/0.3</f>
        <v>138.09313295159021</v>
      </c>
      <c r="AB95" s="8"/>
    </row>
    <row r="96" spans="1:28" ht="12.75" customHeight="1" thickBot="1" x14ac:dyDescent="0.25">
      <c r="A96" s="4"/>
      <c r="M96" s="8"/>
      <c r="P96" s="4"/>
      <c r="T96" s="33">
        <f>Q56</f>
        <v>3</v>
      </c>
      <c r="U96" s="179">
        <f>R56/($Q$47/100)</f>
        <v>16.174011780617505</v>
      </c>
      <c r="V96" s="111">
        <f>U96*T96/0.3</f>
        <v>161.74011780617505</v>
      </c>
      <c r="W96" s="179">
        <f>T56/($Q$47/100)</f>
        <v>16.513443843902149</v>
      </c>
      <c r="X96" s="186">
        <f>W96*T96/0.3</f>
        <v>165.13443843902149</v>
      </c>
      <c r="AB96" s="8"/>
    </row>
    <row r="97" spans="1:28" ht="12.75" customHeight="1" thickBot="1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9"/>
      <c r="P97" s="4"/>
      <c r="T97" s="187"/>
      <c r="U97" s="188" t="s">
        <v>135</v>
      </c>
      <c r="V97" s="189">
        <f>AVERAGE(V92:V96)</f>
        <v>121.93885474092046</v>
      </c>
      <c r="W97" s="188" t="s">
        <v>135</v>
      </c>
      <c r="X97" s="190">
        <f>AVERAGE(X92:X96)</f>
        <v>121.08343697019322</v>
      </c>
      <c r="AB97" s="8"/>
    </row>
    <row r="98" spans="1:28" ht="12.75" customHeight="1" thickBot="1" x14ac:dyDescent="0.25">
      <c r="C98" s="21">
        <f>J$39*$C$75*C66*C70*$F$75+$K$48*$C$76*C67*C71*$F$76+1/2*C64*K39*$C$77*C68*C72*$F$77</f>
        <v>451.44239497920148</v>
      </c>
      <c r="D98" s="21">
        <f>J$40*$C$75*D66*D70*$F$75+$K$48*$C$76*D67*D71*$F$76+1/2*D64*K40*$C$77*D68*D72*$F$77</f>
        <v>479.92434324218698</v>
      </c>
      <c r="E98" s="21">
        <f>J$41*$C$75*E66*E70*$F$75+$K$48*$C$76*E67*E71*$F$76+1/2*E64*K41*$C$77*E68*E72*$F$77</f>
        <v>498.91230875084403</v>
      </c>
      <c r="F98" s="21">
        <f>J$42*$C$75*F66*F70*$F$75+$K$48*$C$76*F67*F71*$F$76+1/2*F64*K42*$C$77*F68*F72*$F$77</f>
        <v>546.38222252248659</v>
      </c>
      <c r="G98" s="21">
        <f>J$43*$C$75*G66*G70*$F$75+$K$48*$C$76*G67*G71*$F$76+1/2*G64*K43*$C$77*G68*G72*$F$77</f>
        <v>593.8521362941292</v>
      </c>
      <c r="H98" s="21">
        <f>J$39*$C$75*H66*H70*$F$75+$K$48*$C$76*H67*H71*$F$76+1/2*H64*K39*$C$77*H68*H72*$F$77</f>
        <v>369.1761722722589</v>
      </c>
      <c r="I98" s="21">
        <f>J$40*$C$75*I66*I70*$F$75+$K$48*$C$76*I67*I71*$F$76+1/2*I64*K40*$C$77*I68*I72*$F$77</f>
        <v>409.86741494437513</v>
      </c>
      <c r="J98" s="21">
        <f>J$41*$C$75*J66*J70*$F$75+$K$48*$C$76*J67*J71*$F$76+1/2*J64*K41*$C$77*J68*J72*$F$77</f>
        <v>436.99084120936732</v>
      </c>
      <c r="K98" s="21">
        <f>J$42*$C$75*K66*K70*$F$75+$K$48*$C$76*K67*K71*$F$76+1/2*K64*K42*$C$77*K68*K72*$F$77</f>
        <v>504.78516589771652</v>
      </c>
      <c r="L98" s="21">
        <f>J$43*$C$75*L66*L70*$F$75+$K$48*$C$76*L67*L71*$F$76+1/2*L64*K43*$C$77*L68*L72*$F$77</f>
        <v>572.5591463373064</v>
      </c>
      <c r="P98" s="5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9"/>
    </row>
    <row r="99" spans="1:28" ht="12.75" customHeight="1" x14ac:dyDescent="0.2">
      <c r="C99" s="41"/>
      <c r="D99" s="41"/>
      <c r="E99" s="41"/>
      <c r="F99" s="41"/>
      <c r="G99" s="41"/>
      <c r="H99" s="41"/>
      <c r="I99" s="41"/>
      <c r="J99" s="41"/>
      <c r="K99" s="41"/>
      <c r="L99" s="41"/>
    </row>
    <row r="100" spans="1:28" ht="12.75" customHeight="1" x14ac:dyDescent="0.2"/>
    <row r="101" spans="1:28" ht="12.75" customHeight="1" x14ac:dyDescent="0.2"/>
    <row r="102" spans="1:28" ht="12.75" customHeight="1" x14ac:dyDescent="0.2"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spans="1:28" ht="12.75" customHeight="1" x14ac:dyDescent="0.2"/>
    <row r="104" spans="1:28" ht="12.75" customHeight="1" x14ac:dyDescent="0.2"/>
  </sheetData>
  <customSheetViews>
    <customSheetView guid="{5A0DBCB3-B2E7-4F2F-A73A-3B24630E7D1A}" scale="85" showPageBreaks="1" showGridLines="0" fitToPage="1" printArea="1" view="pageBreakPreview" topLeftCell="A52">
      <selection activeCell="Q47" sqref="Q47"/>
      <colBreaks count="3" manualBreakCount="3">
        <brk id="7" max="96" man="1"/>
        <brk id="16" max="1048575" man="1"/>
        <brk id="22" max="97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1"/>
      <headerFooter alignWithMargins="0"/>
    </customSheetView>
    <customSheetView guid="{2F909812-D728-4B8D-9839-2364091D9253}" scale="85" showPageBreaks="1" showGridLines="0" fitToPage="1" printArea="1" view="pageBreakPreview" showRuler="0">
      <selection activeCell="B23" sqref="B23:D23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2"/>
      <headerFooter alignWithMargins="0"/>
    </customSheetView>
    <customSheetView guid="{543E864F-509F-4920-81D1-F8BE4AA5D61C}" scale="85" showPageBreaks="1" showGridLines="0" fitToPage="1" printArea="1" view="pageBreakPreview" showRuler="0" topLeftCell="P37">
      <selection activeCell="V38" sqref="V38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3"/>
      <headerFooter alignWithMargins="0"/>
    </customSheetView>
    <customSheetView guid="{6D1BF510-2AF1-43B4-AE7F-259F79E565AC}" scale="75" showPageBreaks="1" showGridLines="0" fitToPage="1" printArea="1" view="pageBreakPreview" showRuler="0" topLeftCell="Q22">
      <selection activeCell="Z35" sqref="Z35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4"/>
      <headerFooter alignWithMargins="0"/>
    </customSheetView>
    <customSheetView guid="{8127D4AB-9453-4548-91B7-C6CE80D2789C}" scale="75" showPageBreaks="1" showGridLines="0" fitToPage="1" printArea="1" view="pageBreakPreview" showRuler="0" topLeftCell="K19">
      <selection activeCell="Q47" sqref="Q47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5"/>
      <headerFooter alignWithMargins="0"/>
    </customSheetView>
    <customSheetView guid="{20C30929-F252-406C-8D94-44905722B9D9}" scale="75" showPageBreaks="1" showGridLines="0" fitToPage="1" printArea="1" view="pageBreakPreview" showRuler="0" topLeftCell="A19">
      <selection activeCell="H25" sqref="H25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6"/>
      <headerFooter alignWithMargins="0"/>
    </customSheetView>
    <customSheetView guid="{12114348-3A8D-4935-A6F6-768010CCAE46}" scale="75" showPageBreaks="1" showGridLines="0" fitToPage="1" printArea="1" view="pageBreakPreview" showRuler="0" topLeftCell="A25">
      <selection activeCell="I48" sqref="I48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7"/>
      <headerFooter alignWithMargins="0"/>
    </customSheetView>
    <customSheetView guid="{7FD2F097-FB49-43FA-AD37-E78F103B659E}" scale="85" showPageBreaks="1" showGridLines="0" fitToPage="1" printArea="1" view="pageBreakPreview" showRuler="0" topLeftCell="O68">
      <selection activeCell="Y93" sqref="Y93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5" orientation="portrait" r:id="rId8"/>
      <headerFooter alignWithMargins="0"/>
    </customSheetView>
    <customSheetView guid="{65522948-B87D-4DE1-A919-A9DBF05A422E}" scale="85" showPageBreaks="1" showGridLines="0" fitToPage="1" printArea="1" view="pageBreakPreview" topLeftCell="A22">
      <selection activeCell="Q47" sqref="Q47"/>
      <colBreaks count="1" manualBreakCount="1">
        <brk id="16" max="1048575" man="1"/>
      </colBreaks>
      <pageMargins left="0.78740157480314965" right="0.78740157480314965" top="0.68" bottom="0.19685039370078741" header="0" footer="0"/>
      <printOptions horizontalCentered="1"/>
      <pageSetup paperSize="9" scale="56" orientation="portrait" r:id="rId9"/>
      <headerFooter alignWithMargins="0"/>
    </customSheetView>
  </customSheetViews>
  <mergeCells count="19">
    <mergeCell ref="T89:T90"/>
    <mergeCell ref="X64:X65"/>
    <mergeCell ref="V64:V65"/>
    <mergeCell ref="T63:T64"/>
    <mergeCell ref="B51:C51"/>
    <mergeCell ref="B85:B86"/>
    <mergeCell ref="G74:L74"/>
    <mergeCell ref="B74:C74"/>
    <mergeCell ref="E74:F74"/>
    <mergeCell ref="V19:V21"/>
    <mergeCell ref="Q49:Q50"/>
    <mergeCell ref="B23:D23"/>
    <mergeCell ref="Y35:Y36"/>
    <mergeCell ref="X35:X36"/>
    <mergeCell ref="J23:M24"/>
    <mergeCell ref="B46:F47"/>
    <mergeCell ref="V22:V24"/>
    <mergeCell ref="T35:T36"/>
    <mergeCell ref="G49:M50"/>
  </mergeCells>
  <phoneticPr fontId="2" type="noConversion"/>
  <conditionalFormatting sqref="U66:U70 W66:W70 R52:R56 T52:T56 E88:E92 C88:C92 U92:U96 W92:W96">
    <cfRule type="cellIs" dxfId="9" priority="2" stopIfTrue="1" operator="equal">
      <formula>"SI"</formula>
    </cfRule>
    <cfRule type="cellIs" dxfId="8" priority="3" stopIfTrue="1" operator="equal">
      <formula>"NO"</formula>
    </cfRule>
  </conditionalFormatting>
  <conditionalFormatting sqref="N22:O22">
    <cfRule type="expression" dxfId="7" priority="4" stopIfTrue="1">
      <formula>IF($B$26="Circular",TRUE)</formula>
    </cfRule>
  </conditionalFormatting>
  <conditionalFormatting sqref="C37:D37">
    <cfRule type="expression" dxfId="6" priority="5" stopIfTrue="1">
      <formula>IF($B$37="No",TRUE)</formula>
    </cfRule>
  </conditionalFormatting>
  <conditionalFormatting sqref="L35:L36 G41:H41">
    <cfRule type="expression" dxfId="5" priority="6" stopIfTrue="1">
      <formula>IF($G$27="No",TRUE)</formula>
    </cfRule>
  </conditionalFormatting>
  <conditionalFormatting sqref="G27">
    <cfRule type="expression" dxfId="4" priority="7" stopIfTrue="1">
      <formula>IF($B$23="Persistente a largo plazo",TRUE)</formula>
    </cfRule>
  </conditionalFormatting>
  <conditionalFormatting sqref="I30:J31">
    <cfRule type="expression" dxfId="3" priority="8" stopIfTrue="1">
      <formula>IF($G$27="No",TRUE)</formula>
    </cfRule>
    <cfRule type="expression" dxfId="2" priority="9" stopIfTrue="1">
      <formula>IF($B$23="Persistente a largo plazo",TRUE)</formula>
    </cfRule>
  </conditionalFormatting>
  <conditionalFormatting sqref="J46:L48">
    <cfRule type="expression" dxfId="1" priority="1" stopIfTrue="1">
      <formula>IF($I$46="No",TRUE)</formula>
    </cfRule>
  </conditionalFormatting>
  <conditionalFormatting sqref="V52:V56">
    <cfRule type="cellIs" dxfId="0" priority="19" stopIfTrue="1" operator="equal">
      <formula>"NO"</formula>
    </cfRule>
  </conditionalFormatting>
  <dataValidations count="8">
    <dataValidation type="decimal" errorStyle="information" operator="greaterThanOrEqual" allowBlank="1" showInputMessage="1" showErrorMessage="1" errorTitle="Recomendación" error="Activar la reducción por nivel freático próximo" sqref="O32:O33" xr:uid="{FFD6E47F-4E65-4B41-8796-E2C420E28913}">
      <formula1>C31</formula1>
    </dataValidation>
    <dataValidation type="decimal" errorStyle="information" operator="greaterThanOrEqual" allowBlank="1" showInputMessage="1" showErrorMessage="1" errorTitle="Recomendación" error="Activar la reducción por nivel freático próximo" sqref="O34" xr:uid="{5444ED1D-8927-404E-AA08-A5C12F0C4363}">
      <formula1>C31</formula1>
    </dataValidation>
    <dataValidation type="list" allowBlank="1" showInputMessage="1" showErrorMessage="1" sqref="B51" xr:uid="{B9A7FE04-7134-4E92-B6B1-3D62B05C44CE}">
      <formula1>"Situación persistente,Situación transitoria,Situación extraordinaria"</formula1>
    </dataValidation>
    <dataValidation type="list" allowBlank="1" showInputMessage="1" showErrorMessage="1" sqref="B45 I46 B37 G27 I53" xr:uid="{E97587D2-C215-4723-9740-AD6CE5064E40}">
      <formula1>"Si,No"</formula1>
    </dataValidation>
    <dataValidation type="list" allowBlank="1" showInputMessage="1" showErrorMessage="1" sqref="D30 B26:B27" xr:uid="{FA858C47-922A-4C22-8827-4BF5F12E22D2}">
      <formula1>$N$3:$N$4</formula1>
    </dataValidation>
    <dataValidation operator="notEqual" allowBlank="1" showInputMessage="1" error="Introducir 0,01 en lugar de 0:_x000a_La solución analítica de Nc es indeterminada para fi=0 pero su límite converge a pi+2=5,14._x000a_Igualmente, sc converge a 1+0,2B/L" sqref="H23" xr:uid="{B9C69B65-334A-460A-AA81-79B6B7D3FA81}"/>
    <dataValidation type="decimal" errorStyle="information" operator="greaterThanOrEqual" allowBlank="1" showInputMessage="1" showErrorMessage="1" errorTitle="Recomendación" error="Activar la reducción por nivel freático próximo" sqref="O35:O36" xr:uid="{14725E63-DB01-40AF-AF7A-5978C8FBE7CD}">
      <formula1>#REF!</formula1>
    </dataValidation>
    <dataValidation type="list" allowBlank="1" showInputMessage="1" showErrorMessage="1" sqref="B23" xr:uid="{B94E2E2D-DCE5-4C94-919B-23F4EE484BED}">
      <formula1>"Persistente a largo plazo,Transitoria a corto plazo (sin drenaje)"</formula1>
    </dataValidation>
  </dataValidations>
  <printOptions horizontalCentered="1"/>
  <pageMargins left="0.78740157480314965" right="0.78740157480314965" top="0.68" bottom="0.19685039370078741" header="0" footer="0"/>
  <pageSetup paperSize="9" scale="56" orientation="portrait" r:id="rId10"/>
  <headerFooter alignWithMargins="0"/>
  <colBreaks count="1" manualBreakCount="1">
    <brk id="16" max="1048575" man="1"/>
  </colBreaks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SUELOS</vt:lpstr>
      <vt:lpstr>SUELOS!Área_de_impresión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Germán  López Pineda</cp:lastModifiedBy>
  <cp:lastPrinted>2008-08-06T07:11:55Z</cp:lastPrinted>
  <dcterms:created xsi:type="dcterms:W3CDTF">2005-10-11T07:12:18Z</dcterms:created>
  <dcterms:modified xsi:type="dcterms:W3CDTF">2026-02-22T20:52:38Z</dcterms:modified>
</cp:coreProperties>
</file>