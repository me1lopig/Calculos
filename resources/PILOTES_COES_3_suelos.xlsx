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cumentos\Desarrollo\Python\CalculoPilotes\resources\"/>
    </mc:Choice>
  </mc:AlternateContent>
  <xr:revisionPtr revIDLastSave="0" documentId="13_ncr:9_{CFFF3E42-4FB4-4F03-990D-C2F9F0A50AFD}" xr6:coauthVersionLast="47" xr6:coauthVersionMax="47" xr10:uidLastSave="{00000000-0000-0000-0000-000000000000}"/>
  <bookViews>
    <workbookView xWindow="-120" yWindow="-120" windowWidth="20730" windowHeight="11160" tabRatio="694" xr2:uid="{521F938E-4543-4A2D-AD2F-9F6673DE0EF9}"/>
  </bookViews>
  <sheets>
    <sheet name="SUELO - ANALITICO" sheetId="35" r:id="rId1"/>
  </sheets>
  <definedNames>
    <definedName name="_xlnm.Print_Area" localSheetId="0">'SUELO - ANALITICO'!$A$1:$P$106</definedName>
    <definedName name="_xlnm.Criteria">#REF!</definedName>
    <definedName name="Tiempo__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3" i="35" l="1"/>
  <c r="AA51" i="35"/>
  <c r="AB51" i="35"/>
  <c r="AC51" i="35"/>
  <c r="AD51" i="35"/>
  <c r="AE51" i="35"/>
  <c r="AF51" i="35"/>
  <c r="AG51" i="35"/>
  <c r="AH51" i="35"/>
  <c r="AI51" i="35"/>
  <c r="AJ51" i="35"/>
  <c r="AK51" i="35"/>
  <c r="B76" i="35"/>
  <c r="AA33" i="35"/>
  <c r="F63" i="35"/>
  <c r="F64" i="35"/>
  <c r="E65" i="35"/>
  <c r="E66" i="35"/>
  <c r="F66" i="35"/>
  <c r="V64" i="35"/>
  <c r="L65" i="35"/>
  <c r="L66" i="35"/>
  <c r="L67" i="35"/>
  <c r="AP33" i="35"/>
  <c r="BE33" i="35"/>
  <c r="BT33" i="35"/>
  <c r="CI33" i="35"/>
  <c r="CX33" i="35"/>
  <c r="AA67" i="35"/>
  <c r="B54" i="35"/>
  <c r="AB67" i="35"/>
  <c r="AC67" i="35"/>
  <c r="AD67" i="35"/>
  <c r="AE67" i="35"/>
  <c r="AF67" i="35"/>
  <c r="AG67" i="35"/>
  <c r="AH67" i="35"/>
  <c r="AI67" i="35"/>
  <c r="AJ67" i="35"/>
  <c r="AK67" i="35"/>
  <c r="AL67" i="35"/>
  <c r="AM67" i="35"/>
  <c r="AN67" i="35"/>
  <c r="AO67" i="35"/>
  <c r="AP67" i="35"/>
  <c r="AQ67" i="35"/>
  <c r="AR67" i="35"/>
  <c r="AS67" i="35"/>
  <c r="AT67" i="35"/>
  <c r="AU67" i="35"/>
  <c r="AV67" i="35"/>
  <c r="AW67" i="35"/>
  <c r="AX67" i="35"/>
  <c r="AY67" i="35"/>
  <c r="AZ67" i="35"/>
  <c r="BA67" i="35"/>
  <c r="BB67" i="35"/>
  <c r="BC67" i="35"/>
  <c r="BD67" i="35"/>
  <c r="BE67" i="35"/>
  <c r="BF67" i="35"/>
  <c r="BG67" i="35"/>
  <c r="BH67" i="35"/>
  <c r="BI67" i="35"/>
  <c r="BJ67" i="35"/>
  <c r="BK67" i="35"/>
  <c r="BL67" i="35"/>
  <c r="BM67" i="35"/>
  <c r="BN67" i="35"/>
  <c r="BO67" i="35"/>
  <c r="BP67" i="35"/>
  <c r="BQ67" i="35"/>
  <c r="BR67" i="35"/>
  <c r="BS67" i="35"/>
  <c r="BT67" i="35"/>
  <c r="BU67" i="35"/>
  <c r="BV67" i="35"/>
  <c r="BW67" i="35"/>
  <c r="BX67" i="35"/>
  <c r="BY67" i="35"/>
  <c r="BZ67" i="35"/>
  <c r="CA67" i="35"/>
  <c r="CB67" i="35"/>
  <c r="CC67" i="35"/>
  <c r="CD67" i="35"/>
  <c r="CE67" i="35"/>
  <c r="CF67" i="35"/>
  <c r="CG67" i="35"/>
  <c r="CH67" i="35"/>
  <c r="CI67" i="35"/>
  <c r="CJ67" i="35"/>
  <c r="CK67" i="35"/>
  <c r="CL67" i="35"/>
  <c r="CM67" i="35"/>
  <c r="CN67" i="35"/>
  <c r="CO67" i="35"/>
  <c r="CP67" i="35"/>
  <c r="CQ67" i="35"/>
  <c r="CR67" i="35"/>
  <c r="CS67" i="35"/>
  <c r="CT67" i="35"/>
  <c r="CU67" i="35"/>
  <c r="CV67" i="35"/>
  <c r="CW67" i="35"/>
  <c r="M67" i="35"/>
  <c r="M66" i="35"/>
  <c r="M65" i="35"/>
  <c r="M64" i="35"/>
  <c r="B40" i="35"/>
  <c r="H75" i="35"/>
  <c r="H91" i="35"/>
  <c r="G75" i="35"/>
  <c r="G91" i="35"/>
  <c r="F75" i="35"/>
  <c r="F91" i="35"/>
  <c r="E75" i="35"/>
  <c r="E91" i="35"/>
  <c r="D75" i="35"/>
  <c r="D91" i="35"/>
  <c r="C75" i="35"/>
  <c r="C91" i="35"/>
  <c r="E34" i="35"/>
  <c r="E36" i="35"/>
  <c r="S62" i="35"/>
  <c r="I63" i="35"/>
  <c r="O63" i="35"/>
  <c r="CI57" i="35"/>
  <c r="A38" i="35"/>
  <c r="O66" i="35"/>
  <c r="O67" i="35"/>
  <c r="F67" i="35"/>
  <c r="CX67" i="35"/>
  <c r="CY67" i="35"/>
  <c r="CZ67" i="35"/>
  <c r="DA67" i="35"/>
  <c r="DB67" i="35"/>
  <c r="DC67" i="35"/>
  <c r="DD67" i="35"/>
  <c r="DE67" i="35"/>
  <c r="DF67" i="35"/>
  <c r="DG67" i="35"/>
  <c r="DH67" i="35"/>
  <c r="DI67" i="35"/>
  <c r="DJ67" i="35"/>
  <c r="DK67" i="35"/>
  <c r="DL67" i="35"/>
  <c r="D104" i="35"/>
  <c r="D105" i="35"/>
  <c r="E104" i="35"/>
  <c r="E105" i="35"/>
  <c r="F104" i="35"/>
  <c r="F105" i="35"/>
  <c r="G104" i="35"/>
  <c r="G105" i="35"/>
  <c r="H104" i="35"/>
  <c r="H105" i="35"/>
  <c r="C104" i="35"/>
  <c r="C105" i="35"/>
  <c r="C31" i="35"/>
  <c r="K51" i="35"/>
  <c r="K52" i="35"/>
  <c r="L51" i="35"/>
  <c r="L53" i="35"/>
  <c r="M51" i="35"/>
  <c r="M53" i="35"/>
  <c r="M52" i="35"/>
  <c r="N51" i="35"/>
  <c r="N52" i="35"/>
  <c r="O51" i="35"/>
  <c r="O52" i="35"/>
  <c r="J51" i="35"/>
  <c r="J53" i="35"/>
  <c r="J52" i="35"/>
  <c r="V62" i="35"/>
  <c r="V63" i="35"/>
  <c r="L64" i="35" s="1"/>
  <c r="V65" i="35"/>
  <c r="V66" i="35"/>
  <c r="N53" i="35"/>
  <c r="O53" i="35"/>
  <c r="K53" i="35"/>
  <c r="N67" i="35"/>
  <c r="N66" i="35"/>
  <c r="L63" i="35"/>
  <c r="L52" i="35"/>
  <c r="O64" i="35"/>
  <c r="CM58" i="35" s="1"/>
  <c r="CM62" i="35" s="1"/>
  <c r="F65" i="35"/>
  <c r="S63" i="35"/>
  <c r="I64" i="35"/>
  <c r="B77" i="35"/>
  <c r="AA35" i="35"/>
  <c r="BE35" i="35"/>
  <c r="AP35" i="35"/>
  <c r="BT35" i="35"/>
  <c r="CI35" i="35"/>
  <c r="CX35" i="35"/>
  <c r="T62" i="35"/>
  <c r="AP57" i="35"/>
  <c r="CX60" i="35"/>
  <c r="CX37" i="35"/>
  <c r="CX66" i="35"/>
  <c r="CX36" i="35"/>
  <c r="CX61" i="35"/>
  <c r="CX57" i="35"/>
  <c r="CI36" i="35"/>
  <c r="CI66" i="35"/>
  <c r="CI61" i="35"/>
  <c r="CI37" i="35"/>
  <c r="CI60" i="35"/>
  <c r="AA60" i="35"/>
  <c r="AA36" i="35"/>
  <c r="AA66" i="35"/>
  <c r="AA61" i="35"/>
  <c r="AA59" i="35"/>
  <c r="AA37" i="35"/>
  <c r="BT66" i="35"/>
  <c r="BT36" i="35"/>
  <c r="BT37" i="35"/>
  <c r="BT61" i="35"/>
  <c r="BT60" i="35"/>
  <c r="BT59" i="35"/>
  <c r="AB35" i="35"/>
  <c r="B78" i="35"/>
  <c r="CY35" i="35"/>
  <c r="BF35" i="35"/>
  <c r="CJ35" i="35"/>
  <c r="BU35" i="35"/>
  <c r="AQ35" i="35"/>
  <c r="BT57" i="35"/>
  <c r="AP60" i="35"/>
  <c r="AP61" i="35"/>
  <c r="AP36" i="35"/>
  <c r="AP37" i="35"/>
  <c r="AP66" i="35"/>
  <c r="BE36" i="35"/>
  <c r="BE60" i="35"/>
  <c r="BE61" i="35"/>
  <c r="BE37" i="35"/>
  <c r="BE66" i="35"/>
  <c r="N65" i="35"/>
  <c r="O65" i="35"/>
  <c r="BF59" i="35"/>
  <c r="BE39" i="35"/>
  <c r="BE41" i="35"/>
  <c r="BE40" i="35"/>
  <c r="BE38" i="35"/>
  <c r="BE42" i="35"/>
  <c r="BF66" i="35"/>
  <c r="BF36" i="35"/>
  <c r="BF61" i="35"/>
  <c r="BF57" i="35"/>
  <c r="BF37" i="35"/>
  <c r="BF60" i="35"/>
  <c r="BT38" i="35"/>
  <c r="BT40" i="35"/>
  <c r="BT42" i="35"/>
  <c r="BT39" i="35"/>
  <c r="BT41" i="35"/>
  <c r="AA42" i="35"/>
  <c r="AA38" i="35"/>
  <c r="AA41" i="35"/>
  <c r="AA40" i="35"/>
  <c r="AA39" i="35"/>
  <c r="CI39" i="35"/>
  <c r="CI41" i="35"/>
  <c r="CI38" i="35"/>
  <c r="CI42" i="35"/>
  <c r="CI40" i="35"/>
  <c r="AQ37" i="35"/>
  <c r="AQ36" i="35"/>
  <c r="AQ61" i="35"/>
  <c r="AQ59" i="35"/>
  <c r="AQ60" i="35"/>
  <c r="AQ66" i="35"/>
  <c r="AQ57" i="35"/>
  <c r="CY60" i="35"/>
  <c r="CY37" i="35"/>
  <c r="CY66" i="35"/>
  <c r="CY36" i="35"/>
  <c r="CY61" i="35"/>
  <c r="CY59" i="35"/>
  <c r="CY57" i="35"/>
  <c r="BU36" i="35"/>
  <c r="BU61" i="35"/>
  <c r="BU60" i="35"/>
  <c r="BU66" i="35"/>
  <c r="BU37" i="35"/>
  <c r="BU59" i="35"/>
  <c r="B79" i="35"/>
  <c r="CZ35" i="35"/>
  <c r="BV35" i="35"/>
  <c r="CK35" i="35"/>
  <c r="AR35" i="35"/>
  <c r="AC35" i="35"/>
  <c r="BG35" i="35"/>
  <c r="AP38" i="35"/>
  <c r="AP40" i="35"/>
  <c r="AP42" i="35"/>
  <c r="AP39" i="35"/>
  <c r="AP41" i="35"/>
  <c r="CJ37" i="35"/>
  <c r="CJ66" i="35"/>
  <c r="CJ36" i="35"/>
  <c r="CJ60" i="35"/>
  <c r="CJ59" i="35"/>
  <c r="CJ61" i="35"/>
  <c r="AB61" i="35"/>
  <c r="AB37" i="35"/>
  <c r="AB36" i="35"/>
  <c r="AB66" i="35"/>
  <c r="AB60" i="35"/>
  <c r="AB59" i="35"/>
  <c r="CX42" i="35"/>
  <c r="CX39" i="35"/>
  <c r="CX40" i="35"/>
  <c r="CX38" i="35"/>
  <c r="CX41" i="35"/>
  <c r="CK66" i="35"/>
  <c r="CK36" i="35"/>
  <c r="CK60" i="35"/>
  <c r="CK61" i="35"/>
  <c r="CK37" i="35"/>
  <c r="CK59" i="35"/>
  <c r="CY40" i="35"/>
  <c r="CY41" i="35"/>
  <c r="CY42" i="35"/>
  <c r="CY38" i="35"/>
  <c r="CY39" i="35"/>
  <c r="CY43" i="35"/>
  <c r="AA43" i="35"/>
  <c r="AA50" i="35"/>
  <c r="AA52" i="35" s="1"/>
  <c r="AA53" i="35" s="1"/>
  <c r="AA54" i="35" s="1"/>
  <c r="AA55" i="35" s="1"/>
  <c r="BE50" i="35"/>
  <c r="BG36" i="35"/>
  <c r="BG61" i="35"/>
  <c r="BG66" i="35"/>
  <c r="BG37" i="35"/>
  <c r="BG60" i="35"/>
  <c r="BG59" i="35"/>
  <c r="BV60" i="35"/>
  <c r="BV37" i="35"/>
  <c r="BV61" i="35"/>
  <c r="BV66" i="35"/>
  <c r="BV36" i="35"/>
  <c r="BV59" i="35"/>
  <c r="BF42" i="35"/>
  <c r="BF38" i="35"/>
  <c r="BF39" i="35"/>
  <c r="BF40" i="35"/>
  <c r="BF41" i="35"/>
  <c r="AB39" i="35"/>
  <c r="AB40" i="35"/>
  <c r="AB41" i="35"/>
  <c r="AB38" i="35"/>
  <c r="AB42" i="35"/>
  <c r="CJ42" i="35"/>
  <c r="CJ41" i="35"/>
  <c r="CJ38" i="35"/>
  <c r="CJ40" i="35"/>
  <c r="CJ50" i="35"/>
  <c r="CJ39" i="35"/>
  <c r="AC36" i="35"/>
  <c r="AC61" i="35"/>
  <c r="AC66" i="35"/>
  <c r="AC60" i="35"/>
  <c r="AC59" i="35"/>
  <c r="AC37" i="35"/>
  <c r="AC57" i="35"/>
  <c r="CZ36" i="35"/>
  <c r="CZ66" i="35"/>
  <c r="CZ37" i="35"/>
  <c r="CZ61" i="35"/>
  <c r="CZ60" i="35"/>
  <c r="CZ59" i="35"/>
  <c r="CI43" i="35"/>
  <c r="AR66" i="35"/>
  <c r="AR60" i="35"/>
  <c r="AR36" i="35"/>
  <c r="AR37" i="35"/>
  <c r="AR59" i="35"/>
  <c r="AR61" i="35"/>
  <c r="AR58" i="35"/>
  <c r="AR62" i="35" s="1"/>
  <c r="AR63" i="35" s="1"/>
  <c r="AR64" i="35" s="1"/>
  <c r="BW35" i="35"/>
  <c r="DA35" i="35"/>
  <c r="AS35" i="35"/>
  <c r="BH35" i="35"/>
  <c r="CL35" i="35"/>
  <c r="B80" i="35"/>
  <c r="AD35" i="35"/>
  <c r="BU38" i="35"/>
  <c r="BU41" i="35"/>
  <c r="BU39" i="35"/>
  <c r="BU42" i="35"/>
  <c r="BU40" i="35"/>
  <c r="AQ40" i="35"/>
  <c r="AQ41" i="35"/>
  <c r="AQ39" i="35"/>
  <c r="AQ50" i="35"/>
  <c r="AQ52" i="35" s="1"/>
  <c r="AQ53" i="35" s="1"/>
  <c r="AQ54" i="35" s="1"/>
  <c r="AQ55" i="35" s="1"/>
  <c r="AQ42" i="35"/>
  <c r="AQ38" i="35"/>
  <c r="AD37" i="35"/>
  <c r="AD66" i="35"/>
  <c r="AD36" i="35"/>
  <c r="AD60" i="35"/>
  <c r="AD61" i="35"/>
  <c r="AD59" i="35"/>
  <c r="AS66" i="35"/>
  <c r="AS61" i="35"/>
  <c r="AS37" i="35"/>
  <c r="AS36" i="35"/>
  <c r="AS60" i="35"/>
  <c r="AS59" i="35"/>
  <c r="AC40" i="35"/>
  <c r="AC43" i="35"/>
  <c r="AC38" i="35"/>
  <c r="AC42" i="35"/>
  <c r="AC41" i="35"/>
  <c r="AC39" i="35"/>
  <c r="CK41" i="35"/>
  <c r="CK42" i="35"/>
  <c r="CK38" i="35"/>
  <c r="CK39" i="35"/>
  <c r="CK50" i="35"/>
  <c r="CK40" i="35"/>
  <c r="CM35" i="35"/>
  <c r="DB35" i="35"/>
  <c r="BX35" i="35"/>
  <c r="B81" i="35"/>
  <c r="AE35" i="35"/>
  <c r="BI35" i="35"/>
  <c r="AT35" i="35"/>
  <c r="DA66" i="35"/>
  <c r="DA60" i="35"/>
  <c r="DA61" i="35"/>
  <c r="DA36" i="35"/>
  <c r="DA37" i="35"/>
  <c r="DA59" i="35"/>
  <c r="AR39" i="35"/>
  <c r="AR42" i="35"/>
  <c r="AR40" i="35"/>
  <c r="AR38" i="35"/>
  <c r="AR41" i="35"/>
  <c r="CL36" i="35"/>
  <c r="CL66" i="35"/>
  <c r="CL37" i="35"/>
  <c r="CL59" i="35"/>
  <c r="CL60" i="35"/>
  <c r="CL61" i="35"/>
  <c r="BW60" i="35"/>
  <c r="BW37" i="35"/>
  <c r="BW61" i="35"/>
  <c r="BW66" i="35"/>
  <c r="BW59" i="35"/>
  <c r="BW36" i="35"/>
  <c r="BF43" i="35"/>
  <c r="BF50" i="35"/>
  <c r="BV41" i="35"/>
  <c r="BV39" i="35"/>
  <c r="BV43" i="35"/>
  <c r="BV42" i="35"/>
  <c r="BV40" i="35"/>
  <c r="BV38" i="35"/>
  <c r="BH66" i="35"/>
  <c r="BH61" i="35"/>
  <c r="BH60" i="35"/>
  <c r="BH36" i="35"/>
  <c r="BH59" i="35"/>
  <c r="BH37" i="35"/>
  <c r="CZ38" i="35"/>
  <c r="CZ40" i="35"/>
  <c r="CZ42" i="35"/>
  <c r="CZ41" i="35"/>
  <c r="CZ39" i="35"/>
  <c r="CZ43" i="35"/>
  <c r="CJ43" i="35"/>
  <c r="BG41" i="35"/>
  <c r="BG42" i="35"/>
  <c r="BG38" i="35"/>
  <c r="BG39" i="35"/>
  <c r="BG40" i="35"/>
  <c r="AT36" i="35"/>
  <c r="AT59" i="35"/>
  <c r="AT37" i="35"/>
  <c r="AT66" i="35"/>
  <c r="AT61" i="35"/>
  <c r="AT60" i="35"/>
  <c r="AT57" i="35"/>
  <c r="BX37" i="35"/>
  <c r="BX66" i="35"/>
  <c r="BX61" i="35"/>
  <c r="BX36" i="35"/>
  <c r="BX60" i="35"/>
  <c r="BX59" i="35"/>
  <c r="CK43" i="35"/>
  <c r="CL39" i="35"/>
  <c r="CL38" i="35"/>
  <c r="CL42" i="35"/>
  <c r="CL40" i="35"/>
  <c r="CL43" i="35"/>
  <c r="CL41" i="35"/>
  <c r="BI66" i="35"/>
  <c r="BI36" i="35"/>
  <c r="BI37" i="35"/>
  <c r="BI60" i="35"/>
  <c r="BI59" i="35"/>
  <c r="BI61" i="35"/>
  <c r="DB37" i="35"/>
  <c r="DB66" i="35"/>
  <c r="DB59" i="35"/>
  <c r="DB61" i="35"/>
  <c r="DB60" i="35"/>
  <c r="DB36" i="35"/>
  <c r="AS42" i="35"/>
  <c r="AS40" i="35"/>
  <c r="AS38" i="35"/>
  <c r="AS41" i="35"/>
  <c r="AS39" i="35"/>
  <c r="AR43" i="35"/>
  <c r="AE61" i="35"/>
  <c r="AE36" i="35"/>
  <c r="AE60" i="35"/>
  <c r="AE37" i="35"/>
  <c r="AE59" i="35"/>
  <c r="AE66" i="35"/>
  <c r="AE57" i="35"/>
  <c r="CM60" i="35"/>
  <c r="CM61" i="35"/>
  <c r="CM66" i="35"/>
  <c r="CM59" i="35"/>
  <c r="CM37" i="35"/>
  <c r="CM36" i="35"/>
  <c r="AD39" i="35"/>
  <c r="AD42" i="35"/>
  <c r="AD41" i="35"/>
  <c r="AD38" i="35"/>
  <c r="AD40" i="35"/>
  <c r="CZ50" i="35"/>
  <c r="BH40" i="35"/>
  <c r="BH41" i="35"/>
  <c r="BH42" i="35"/>
  <c r="BH39" i="35"/>
  <c r="BH38" i="35"/>
  <c r="BV50" i="35"/>
  <c r="BW39" i="35"/>
  <c r="BW42" i="35"/>
  <c r="BW41" i="35"/>
  <c r="BW40" i="35"/>
  <c r="BW38" i="35"/>
  <c r="DA41" i="35"/>
  <c r="DA39" i="35"/>
  <c r="DA40" i="35"/>
  <c r="DA38" i="35"/>
  <c r="DA42" i="35"/>
  <c r="AU35" i="35"/>
  <c r="DC35" i="35"/>
  <c r="CN35" i="35"/>
  <c r="AF35" i="35"/>
  <c r="BY35" i="35"/>
  <c r="BJ35" i="35"/>
  <c r="B82" i="35"/>
  <c r="BJ37" i="35"/>
  <c r="BJ36" i="35"/>
  <c r="BJ61" i="35"/>
  <c r="BJ59" i="35"/>
  <c r="BJ66" i="35"/>
  <c r="BJ60" i="35"/>
  <c r="DC66" i="35"/>
  <c r="DC37" i="35"/>
  <c r="DC36" i="35"/>
  <c r="DC61" i="35"/>
  <c r="DC60" i="35"/>
  <c r="DC59" i="35"/>
  <c r="DC57" i="35"/>
  <c r="BI38" i="35"/>
  <c r="BI42" i="35"/>
  <c r="BI41" i="35"/>
  <c r="BI40" i="35"/>
  <c r="BI39" i="35"/>
  <c r="BY37" i="35"/>
  <c r="BY60" i="35"/>
  <c r="BY36" i="35"/>
  <c r="BY66" i="35"/>
  <c r="BY59" i="35"/>
  <c r="BY61" i="35"/>
  <c r="AU37" i="35"/>
  <c r="AU60" i="35"/>
  <c r="AU66" i="35"/>
  <c r="AU36" i="35"/>
  <c r="AU61" i="35"/>
  <c r="AU57" i="35"/>
  <c r="AU59" i="35"/>
  <c r="CM41" i="35"/>
  <c r="CM39" i="35"/>
  <c r="CM42" i="35"/>
  <c r="CM38" i="35"/>
  <c r="CM40" i="35"/>
  <c r="AF37" i="35"/>
  <c r="AF66" i="35"/>
  <c r="AF36" i="35"/>
  <c r="AF60" i="35"/>
  <c r="AF59" i="35"/>
  <c r="AF61" i="35"/>
  <c r="AD50" i="35"/>
  <c r="BX41" i="35"/>
  <c r="BX39" i="35"/>
  <c r="BX50" i="35"/>
  <c r="BX38" i="35"/>
  <c r="BX42" i="35"/>
  <c r="BX40" i="35"/>
  <c r="AT39" i="35"/>
  <c r="AT40" i="35"/>
  <c r="AT42" i="35"/>
  <c r="AT41" i="35"/>
  <c r="AT38" i="35"/>
  <c r="B83" i="35"/>
  <c r="BK35" i="35"/>
  <c r="AG35" i="35"/>
  <c r="CO35" i="35"/>
  <c r="AV35" i="35"/>
  <c r="DD35" i="35"/>
  <c r="BZ35" i="35"/>
  <c r="CN37" i="35"/>
  <c r="CN66" i="35"/>
  <c r="CN60" i="35"/>
  <c r="CN61" i="35"/>
  <c r="CN59" i="35"/>
  <c r="CN36" i="35"/>
  <c r="AE42" i="35"/>
  <c r="AE39" i="35"/>
  <c r="AE40" i="35"/>
  <c r="AE41" i="35"/>
  <c r="AE38" i="35"/>
  <c r="AE43" i="35"/>
  <c r="DB39" i="35"/>
  <c r="DB42" i="35"/>
  <c r="DB38" i="35"/>
  <c r="DB41" i="35"/>
  <c r="DB40" i="35"/>
  <c r="DB50" i="35"/>
  <c r="CO61" i="35"/>
  <c r="CO66" i="35"/>
  <c r="CO36" i="35"/>
  <c r="CO60" i="35"/>
  <c r="CO37" i="35"/>
  <c r="CO59" i="35"/>
  <c r="CO57" i="35"/>
  <c r="BX43" i="35"/>
  <c r="AF39" i="35"/>
  <c r="AF38" i="35"/>
  <c r="AF40" i="35"/>
  <c r="AF41" i="35"/>
  <c r="AF42" i="35"/>
  <c r="BY41" i="35"/>
  <c r="BY42" i="35"/>
  <c r="BY38" i="35"/>
  <c r="BY40" i="35"/>
  <c r="BY39" i="35"/>
  <c r="BJ38" i="35"/>
  <c r="BJ39" i="35"/>
  <c r="BJ42" i="35"/>
  <c r="BJ41" i="35"/>
  <c r="BJ40" i="35"/>
  <c r="BZ66" i="35"/>
  <c r="BZ36" i="35"/>
  <c r="BZ37" i="35"/>
  <c r="BZ59" i="35"/>
  <c r="BZ60" i="35"/>
  <c r="BZ61" i="35"/>
  <c r="BZ57" i="35"/>
  <c r="AG37" i="35"/>
  <c r="AG36" i="35"/>
  <c r="AG60" i="35"/>
  <c r="AG66" i="35"/>
  <c r="AG59" i="35"/>
  <c r="AG61" i="35"/>
  <c r="CN38" i="35"/>
  <c r="CN42" i="35"/>
  <c r="CN39" i="35"/>
  <c r="CN40" i="35"/>
  <c r="CN41" i="35"/>
  <c r="DD61" i="35"/>
  <c r="DD59" i="35"/>
  <c r="DD36" i="35"/>
  <c r="DD66" i="35"/>
  <c r="DD60" i="35"/>
  <c r="DD37" i="35"/>
  <c r="BK60" i="35"/>
  <c r="BK66" i="35"/>
  <c r="BK36" i="35"/>
  <c r="BK61" i="35"/>
  <c r="BK37" i="35"/>
  <c r="BK59" i="35"/>
  <c r="BK57" i="35"/>
  <c r="AU41" i="35"/>
  <c r="AU42" i="35"/>
  <c r="AU38" i="35"/>
  <c r="AU39" i="35"/>
  <c r="AU40" i="35"/>
  <c r="DC38" i="35"/>
  <c r="DC39" i="35"/>
  <c r="DC40" i="35"/>
  <c r="DC42" i="35"/>
  <c r="DC41" i="35"/>
  <c r="AV61" i="35"/>
  <c r="AV36" i="35"/>
  <c r="AV37" i="35"/>
  <c r="AV59" i="35"/>
  <c r="AV66" i="35"/>
  <c r="AV60" i="35"/>
  <c r="AV57" i="35"/>
  <c r="AH35" i="35"/>
  <c r="DE35" i="35"/>
  <c r="BL35" i="35"/>
  <c r="AW35" i="35"/>
  <c r="CP35" i="35"/>
  <c r="CA35" i="35"/>
  <c r="B84" i="35"/>
  <c r="BI43" i="35"/>
  <c r="AI35" i="35"/>
  <c r="AX35" i="35"/>
  <c r="CB35" i="35"/>
  <c r="CQ35" i="35"/>
  <c r="DF35" i="35"/>
  <c r="BM35" i="35"/>
  <c r="B85" i="35"/>
  <c r="BL60" i="35"/>
  <c r="BL66" i="35"/>
  <c r="BL37" i="35"/>
  <c r="BL36" i="35"/>
  <c r="BL61" i="35"/>
  <c r="BL59" i="35"/>
  <c r="CA66" i="35"/>
  <c r="CA61" i="35"/>
  <c r="CA37" i="35"/>
  <c r="CA60" i="35"/>
  <c r="CA36" i="35"/>
  <c r="CA59" i="35"/>
  <c r="DE66" i="35"/>
  <c r="DE61" i="35"/>
  <c r="DE59" i="35"/>
  <c r="DE60" i="35"/>
  <c r="DE37" i="35"/>
  <c r="DE36" i="35"/>
  <c r="DE57" i="35"/>
  <c r="CP60" i="35"/>
  <c r="CP61" i="35"/>
  <c r="CP36" i="35"/>
  <c r="CP59" i="35"/>
  <c r="CP37" i="35"/>
  <c r="CP66" i="35"/>
  <c r="AH36" i="35"/>
  <c r="AH61" i="35"/>
  <c r="AH37" i="35"/>
  <c r="AH60" i="35"/>
  <c r="AH59" i="35"/>
  <c r="AH66" i="35"/>
  <c r="AV40" i="35"/>
  <c r="AV38" i="35"/>
  <c r="AV42" i="35"/>
  <c r="AV39" i="35"/>
  <c r="AV41" i="35"/>
  <c r="BK39" i="35"/>
  <c r="BK38" i="35"/>
  <c r="BK41" i="35"/>
  <c r="BK40" i="35"/>
  <c r="BK42" i="35"/>
  <c r="AG42" i="35"/>
  <c r="AG41" i="35"/>
  <c r="AG39" i="35"/>
  <c r="AG40" i="35"/>
  <c r="AG38" i="35"/>
  <c r="BY50" i="35"/>
  <c r="AW37" i="35"/>
  <c r="AW66" i="35"/>
  <c r="AW60" i="35"/>
  <c r="AW61" i="35"/>
  <c r="AW59" i="35"/>
  <c r="AW36" i="35"/>
  <c r="AW57" i="35"/>
  <c r="DD40" i="35"/>
  <c r="DD39" i="35"/>
  <c r="DD38" i="35"/>
  <c r="DD42" i="35"/>
  <c r="DD41" i="35"/>
  <c r="BZ39" i="35"/>
  <c r="BZ42" i="35"/>
  <c r="BZ40" i="35"/>
  <c r="BZ50" i="35"/>
  <c r="BZ38" i="35"/>
  <c r="BZ41" i="35"/>
  <c r="CO38" i="35"/>
  <c r="CO41" i="35"/>
  <c r="CO39" i="35"/>
  <c r="CO42" i="35"/>
  <c r="CO40" i="35"/>
  <c r="AH38" i="35"/>
  <c r="AH39" i="35"/>
  <c r="AH40" i="35"/>
  <c r="AH41" i="35"/>
  <c r="AH42" i="35"/>
  <c r="BM36" i="35"/>
  <c r="BM66" i="35"/>
  <c r="BM37" i="35"/>
  <c r="BM59" i="35"/>
  <c r="BM61" i="35"/>
  <c r="BM60" i="35"/>
  <c r="AX61" i="35"/>
  <c r="AX59" i="35"/>
  <c r="AX66" i="35"/>
  <c r="AX37" i="35"/>
  <c r="AX60" i="35"/>
  <c r="AX36" i="35"/>
  <c r="AW40" i="35"/>
  <c r="AW42" i="35"/>
  <c r="AW41" i="35"/>
  <c r="AW38" i="35"/>
  <c r="AW39" i="35"/>
  <c r="AW43" i="35"/>
  <c r="CA41" i="35"/>
  <c r="CA39" i="35"/>
  <c r="CA42" i="35"/>
  <c r="CA38" i="35"/>
  <c r="CA40" i="35"/>
  <c r="DF60" i="35"/>
  <c r="DF66" i="35"/>
  <c r="DF61" i="35"/>
  <c r="DF59" i="35"/>
  <c r="DF37" i="35"/>
  <c r="DF36" i="35"/>
  <c r="AI37" i="35"/>
  <c r="AI60" i="35"/>
  <c r="AI36" i="35"/>
  <c r="AI66" i="35"/>
  <c r="AI59" i="35"/>
  <c r="AI61" i="35"/>
  <c r="DE38" i="35"/>
  <c r="DE41" i="35"/>
  <c r="DE40" i="35"/>
  <c r="DE42" i="35"/>
  <c r="DE39" i="35"/>
  <c r="CQ60" i="35"/>
  <c r="CQ36" i="35"/>
  <c r="CQ37" i="35"/>
  <c r="CQ61" i="35"/>
  <c r="CQ66" i="35"/>
  <c r="CQ59" i="35"/>
  <c r="CP41" i="35"/>
  <c r="CP39" i="35"/>
  <c r="CP42" i="35"/>
  <c r="CP38" i="35"/>
  <c r="CP40" i="35"/>
  <c r="BL42" i="35"/>
  <c r="BL39" i="35"/>
  <c r="BL38" i="35"/>
  <c r="BL41" i="35"/>
  <c r="BL40" i="35"/>
  <c r="B86" i="35"/>
  <c r="DG35" i="35"/>
  <c r="AJ35" i="35"/>
  <c r="CR35" i="35"/>
  <c r="CC35" i="35"/>
  <c r="BN35" i="35"/>
  <c r="AY35" i="35"/>
  <c r="CB61" i="35"/>
  <c r="CB37" i="35"/>
  <c r="CB66" i="35"/>
  <c r="CB36" i="35"/>
  <c r="CB60" i="35"/>
  <c r="CB59" i="35"/>
  <c r="CC36" i="35"/>
  <c r="CC66" i="35"/>
  <c r="CC37" i="35"/>
  <c r="CC60" i="35"/>
  <c r="CC59" i="35"/>
  <c r="CC61" i="35"/>
  <c r="AK35" i="35"/>
  <c r="BO35" i="35"/>
  <c r="B87" i="35"/>
  <c r="CD35" i="35"/>
  <c r="CS35" i="35"/>
  <c r="AZ35" i="35"/>
  <c r="DH35" i="35"/>
  <c r="DF39" i="35"/>
  <c r="DF38" i="35"/>
  <c r="DF40" i="35"/>
  <c r="DF41" i="35"/>
  <c r="DF42" i="35"/>
  <c r="AX41" i="35"/>
  <c r="AX39" i="35"/>
  <c r="AX38" i="35"/>
  <c r="AX42" i="35"/>
  <c r="AX40" i="35"/>
  <c r="CB41" i="35"/>
  <c r="CB39" i="35"/>
  <c r="CB40" i="35"/>
  <c r="CB42" i="35"/>
  <c r="CB38" i="35"/>
  <c r="CR60" i="35"/>
  <c r="CR36" i="35"/>
  <c r="CR61" i="35"/>
  <c r="CR66" i="35"/>
  <c r="CR59" i="35"/>
  <c r="CR37" i="35"/>
  <c r="AY37" i="35"/>
  <c r="AY59" i="35"/>
  <c r="AY61" i="35"/>
  <c r="AY36" i="35"/>
  <c r="AY60" i="35"/>
  <c r="AY66" i="35"/>
  <c r="AJ66" i="35"/>
  <c r="AJ60" i="35"/>
  <c r="AJ36" i="35"/>
  <c r="AJ61" i="35"/>
  <c r="AJ59" i="35"/>
  <c r="AJ37" i="35"/>
  <c r="CQ42" i="35"/>
  <c r="CQ39" i="35"/>
  <c r="CQ38" i="35"/>
  <c r="CQ50" i="35"/>
  <c r="CQ40" i="35"/>
  <c r="CQ41" i="35"/>
  <c r="AI40" i="35"/>
  <c r="AI41" i="35"/>
  <c r="AI38" i="35"/>
  <c r="AI39" i="35"/>
  <c r="AI42" i="35"/>
  <c r="BN37" i="35"/>
  <c r="BN61" i="35"/>
  <c r="BN66" i="35"/>
  <c r="BN36" i="35"/>
  <c r="BN60" i="35"/>
  <c r="BN59" i="35"/>
  <c r="BN58" i="35"/>
  <c r="BN62" i="35" s="1"/>
  <c r="BN63" i="35" s="1"/>
  <c r="BN64" i="35" s="1"/>
  <c r="BN57" i="35"/>
  <c r="DG66" i="35"/>
  <c r="DG60" i="35"/>
  <c r="DG36" i="35"/>
  <c r="DG59" i="35"/>
  <c r="DG61" i="35"/>
  <c r="DG37" i="35"/>
  <c r="BM42" i="35"/>
  <c r="BM39" i="35"/>
  <c r="BM41" i="35"/>
  <c r="BM38" i="35"/>
  <c r="BM40" i="35"/>
  <c r="BM43" i="35"/>
  <c r="BM50" i="35"/>
  <c r="CR38" i="35"/>
  <c r="CR42" i="35"/>
  <c r="CR40" i="35"/>
  <c r="CR39" i="35"/>
  <c r="CR41" i="35"/>
  <c r="CS37" i="35"/>
  <c r="CS66" i="35"/>
  <c r="CS36" i="35"/>
  <c r="CS60" i="35"/>
  <c r="CS59" i="35"/>
  <c r="CS61" i="35"/>
  <c r="AK61" i="35"/>
  <c r="AK37" i="35"/>
  <c r="AK60" i="35"/>
  <c r="AK66" i="35"/>
  <c r="AK59" i="35"/>
  <c r="AK36" i="35"/>
  <c r="AJ42" i="35"/>
  <c r="AJ38" i="35"/>
  <c r="AJ39" i="35"/>
  <c r="AJ41" i="35"/>
  <c r="AJ40" i="35"/>
  <c r="AY39" i="35"/>
  <c r="AY40" i="35"/>
  <c r="AY38" i="35"/>
  <c r="AY41" i="35"/>
  <c r="AY42" i="35"/>
  <c r="DF43" i="35"/>
  <c r="CD66" i="35"/>
  <c r="CD60" i="35"/>
  <c r="CD36" i="35"/>
  <c r="CD59" i="35"/>
  <c r="CD37" i="35"/>
  <c r="CD61" i="35"/>
  <c r="CC38" i="35"/>
  <c r="CC50" i="35"/>
  <c r="CC41" i="35"/>
  <c r="CC39" i="35"/>
  <c r="CC40" i="35"/>
  <c r="CC42" i="35"/>
  <c r="DG40" i="35"/>
  <c r="DG38" i="35"/>
  <c r="DG41" i="35"/>
  <c r="DG39" i="35"/>
  <c r="DG42" i="35"/>
  <c r="BN41" i="35"/>
  <c r="BN39" i="35"/>
  <c r="BN38" i="35"/>
  <c r="BN40" i="35"/>
  <c r="BN42" i="35"/>
  <c r="DH61" i="35"/>
  <c r="DH66" i="35"/>
  <c r="DH37" i="35"/>
  <c r="DH59" i="35"/>
  <c r="DH36" i="35"/>
  <c r="DH60" i="35"/>
  <c r="B88" i="35"/>
  <c r="DI35" i="35"/>
  <c r="BP35" i="35"/>
  <c r="CT35" i="35"/>
  <c r="CE35" i="35"/>
  <c r="BA35" i="35"/>
  <c r="AL35" i="35"/>
  <c r="AZ66" i="35"/>
  <c r="AZ61" i="35"/>
  <c r="AZ36" i="35"/>
  <c r="AZ37" i="35"/>
  <c r="AZ59" i="35"/>
  <c r="AZ60" i="35"/>
  <c r="BO60" i="35"/>
  <c r="BO66" i="35"/>
  <c r="BO37" i="35"/>
  <c r="BO36" i="35"/>
  <c r="BO59" i="35"/>
  <c r="BO61" i="35"/>
  <c r="BA60" i="35"/>
  <c r="BA36" i="35"/>
  <c r="BA61" i="35"/>
  <c r="BA37" i="35"/>
  <c r="BA57" i="35"/>
  <c r="BA66" i="35"/>
  <c r="DI37" i="35"/>
  <c r="DI60" i="35"/>
  <c r="DI36" i="35"/>
  <c r="DI66" i="35"/>
  <c r="DI61" i="35"/>
  <c r="AZ38" i="35"/>
  <c r="AZ41" i="35"/>
  <c r="AZ40" i="35"/>
  <c r="AZ42" i="35"/>
  <c r="AZ39" i="35"/>
  <c r="CE61" i="35"/>
  <c r="CE37" i="35"/>
  <c r="CE60" i="35"/>
  <c r="CE59" i="35"/>
  <c r="CE36" i="35"/>
  <c r="CE66" i="35"/>
  <c r="CE57" i="35"/>
  <c r="BB35" i="35"/>
  <c r="B89" i="35"/>
  <c r="BQ35" i="35"/>
  <c r="CF35" i="35"/>
  <c r="AM35" i="35"/>
  <c r="CU35" i="35"/>
  <c r="DJ35" i="35"/>
  <c r="BO42" i="35"/>
  <c r="BO39" i="35"/>
  <c r="BO43" i="35"/>
  <c r="BO40" i="35"/>
  <c r="BO38" i="35"/>
  <c r="BO41" i="35"/>
  <c r="CT61" i="35"/>
  <c r="CT36" i="35"/>
  <c r="CT37" i="35"/>
  <c r="CT60" i="35"/>
  <c r="CT66" i="35"/>
  <c r="CT59" i="35"/>
  <c r="CT57" i="35"/>
  <c r="DH42" i="35"/>
  <c r="DH39" i="35"/>
  <c r="DH40" i="35"/>
  <c r="DH41" i="35"/>
  <c r="DH38" i="35"/>
  <c r="CD38" i="35"/>
  <c r="CD41" i="35"/>
  <c r="CD42" i="35"/>
  <c r="CD39" i="35"/>
  <c r="CD40" i="35"/>
  <c r="AK38" i="35"/>
  <c r="AK41" i="35"/>
  <c r="AK39" i="35"/>
  <c r="AK40" i="35"/>
  <c r="AK42" i="35"/>
  <c r="CR50" i="35"/>
  <c r="CR43" i="35"/>
  <c r="AL61" i="35"/>
  <c r="AL66" i="35"/>
  <c r="AL59" i="35"/>
  <c r="AL60" i="35"/>
  <c r="AL37" i="35"/>
  <c r="AL36" i="35"/>
  <c r="BP37" i="35"/>
  <c r="BP59" i="35"/>
  <c r="BP60" i="35"/>
  <c r="BP36" i="35"/>
  <c r="BP61" i="35"/>
  <c r="BP66" i="35"/>
  <c r="BP57" i="35"/>
  <c r="CS38" i="35"/>
  <c r="CS42" i="35"/>
  <c r="CS39" i="35"/>
  <c r="CS40" i="35"/>
  <c r="CS41" i="35"/>
  <c r="CF61" i="35"/>
  <c r="CF37" i="35"/>
  <c r="CF59" i="35"/>
  <c r="CF60" i="35"/>
  <c r="CF36" i="35"/>
  <c r="CF66" i="35"/>
  <c r="CF57" i="35"/>
  <c r="CE38" i="35"/>
  <c r="CE41" i="35"/>
  <c r="CE40" i="35"/>
  <c r="CE39" i="35"/>
  <c r="CE42" i="35"/>
  <c r="AL39" i="35"/>
  <c r="AL41" i="35"/>
  <c r="AL38" i="35"/>
  <c r="AL42" i="35"/>
  <c r="AL40" i="35"/>
  <c r="DJ37" i="35"/>
  <c r="DJ36" i="35"/>
  <c r="DJ66" i="35"/>
  <c r="DJ60" i="35"/>
  <c r="DJ59" i="35"/>
  <c r="DJ61" i="35"/>
  <c r="BQ66" i="35"/>
  <c r="BQ36" i="35"/>
  <c r="BQ59" i="35"/>
  <c r="BQ61" i="35"/>
  <c r="BQ60" i="35"/>
  <c r="BQ37" i="35"/>
  <c r="DI41" i="35"/>
  <c r="DI38" i="35"/>
  <c r="DI40" i="35"/>
  <c r="DI39" i="35"/>
  <c r="DI42" i="35"/>
  <c r="BP38" i="35"/>
  <c r="BP42" i="35"/>
  <c r="BP41" i="35"/>
  <c r="BP39" i="35"/>
  <c r="BP40" i="35"/>
  <c r="CT38" i="35"/>
  <c r="CT41" i="35"/>
  <c r="CT42" i="35"/>
  <c r="CT39" i="35"/>
  <c r="CT40" i="35"/>
  <c r="CU37" i="35"/>
  <c r="CU59" i="35"/>
  <c r="CU60" i="35"/>
  <c r="CU61" i="35"/>
  <c r="CU36" i="35"/>
  <c r="CU66" i="35"/>
  <c r="CU57" i="35"/>
  <c r="AN35" i="35"/>
  <c r="DK35" i="35"/>
  <c r="B90" i="35"/>
  <c r="CV35" i="35"/>
  <c r="BC35" i="35"/>
  <c r="CG35" i="35"/>
  <c r="BR35" i="35"/>
  <c r="AM60" i="35"/>
  <c r="AM36" i="35"/>
  <c r="AM61" i="35"/>
  <c r="AM66" i="35"/>
  <c r="AM37" i="35"/>
  <c r="AM59" i="35"/>
  <c r="AM57" i="35"/>
  <c r="BB36" i="35"/>
  <c r="BB60" i="35"/>
  <c r="BB61" i="35"/>
  <c r="BB37" i="35"/>
  <c r="BB66" i="35"/>
  <c r="BB59" i="35"/>
  <c r="BA41" i="35"/>
  <c r="BA38" i="35"/>
  <c r="BA40" i="35"/>
  <c r="BA39" i="35"/>
  <c r="BA42" i="35"/>
  <c r="CV66" i="35"/>
  <c r="CV36" i="35"/>
  <c r="CV60" i="35"/>
  <c r="CV61" i="35"/>
  <c r="CV37" i="35"/>
  <c r="CV59" i="35"/>
  <c r="CU42" i="35"/>
  <c r="CU39" i="35"/>
  <c r="CU50" i="35"/>
  <c r="CU40" i="35"/>
  <c r="CU41" i="35"/>
  <c r="CU38" i="35"/>
  <c r="DJ40" i="35"/>
  <c r="DJ41" i="35"/>
  <c r="DJ39" i="35"/>
  <c r="DJ38" i="35"/>
  <c r="DJ50" i="35"/>
  <c r="DJ42" i="35"/>
  <c r="BB40" i="35"/>
  <c r="BB41" i="35"/>
  <c r="BB42" i="35"/>
  <c r="BB38" i="35"/>
  <c r="BB39" i="35"/>
  <c r="AM38" i="35"/>
  <c r="AM39" i="35"/>
  <c r="AM43" i="35"/>
  <c r="AM41" i="35"/>
  <c r="AM40" i="35"/>
  <c r="AM42" i="35"/>
  <c r="BR37" i="35"/>
  <c r="BR61" i="35"/>
  <c r="BR36" i="35"/>
  <c r="BR60" i="35"/>
  <c r="BR66" i="35"/>
  <c r="BR59" i="35"/>
  <c r="BS35" i="35"/>
  <c r="AO35" i="35"/>
  <c r="CW35" i="35"/>
  <c r="BD35" i="35"/>
  <c r="CH35" i="35"/>
  <c r="DL35" i="35"/>
  <c r="CT43" i="35"/>
  <c r="CF39" i="35"/>
  <c r="CF50" i="35"/>
  <c r="CF40" i="35"/>
  <c r="CF42" i="35"/>
  <c r="CF38" i="35"/>
  <c r="CF41" i="35"/>
  <c r="CG59" i="35"/>
  <c r="CG61" i="35"/>
  <c r="CG36" i="35"/>
  <c r="CG66" i="35"/>
  <c r="CG37" i="35"/>
  <c r="CG60" i="35"/>
  <c r="DK61" i="35"/>
  <c r="DK60" i="35"/>
  <c r="DK66" i="35"/>
  <c r="DK36" i="35"/>
  <c r="DK59" i="35"/>
  <c r="DK37" i="35"/>
  <c r="BC36" i="35"/>
  <c r="BC61" i="35"/>
  <c r="BC37" i="35"/>
  <c r="BC60" i="35"/>
  <c r="BC66" i="35"/>
  <c r="BC59" i="35"/>
  <c r="AN61" i="35"/>
  <c r="AN37" i="35"/>
  <c r="AN36" i="35"/>
  <c r="AN59" i="35"/>
  <c r="AN60" i="35"/>
  <c r="AN66" i="35"/>
  <c r="BQ42" i="35"/>
  <c r="BQ41" i="35"/>
  <c r="BQ38" i="35"/>
  <c r="BQ40" i="35"/>
  <c r="BQ39" i="35"/>
  <c r="DK38" i="35"/>
  <c r="DK40" i="35"/>
  <c r="DK42" i="35"/>
  <c r="DK41" i="35"/>
  <c r="DK39" i="35"/>
  <c r="BD61" i="35"/>
  <c r="BD60" i="35"/>
  <c r="BD36" i="35"/>
  <c r="BD59" i="35"/>
  <c r="BD37" i="35"/>
  <c r="BD66" i="35"/>
  <c r="CW60" i="35"/>
  <c r="CW36" i="35"/>
  <c r="CW59" i="35"/>
  <c r="CW37" i="35"/>
  <c r="CW61" i="35"/>
  <c r="CW66" i="35"/>
  <c r="CW57" i="35"/>
  <c r="AM50" i="35"/>
  <c r="AN41" i="35"/>
  <c r="AN38" i="35"/>
  <c r="AN40" i="35"/>
  <c r="AN39" i="35"/>
  <c r="AN43" i="35"/>
  <c r="AN42" i="35"/>
  <c r="BC42" i="35"/>
  <c r="BC38" i="35"/>
  <c r="BC40" i="35"/>
  <c r="BC39" i="35"/>
  <c r="BC41" i="35"/>
  <c r="CG39" i="35"/>
  <c r="CG42" i="35"/>
  <c r="CG41" i="35"/>
  <c r="CG40" i="35"/>
  <c r="CG38" i="35"/>
  <c r="DL61" i="35"/>
  <c r="DL36" i="35"/>
  <c r="DL66" i="35"/>
  <c r="DL60" i="35"/>
  <c r="DL59" i="35"/>
  <c r="DL37" i="35"/>
  <c r="AO60" i="35"/>
  <c r="AO61" i="35"/>
  <c r="AO59" i="35"/>
  <c r="AO66" i="35"/>
  <c r="AO37" i="35"/>
  <c r="AO36" i="35"/>
  <c r="AO57" i="35"/>
  <c r="BR42" i="35"/>
  <c r="BR38" i="35"/>
  <c r="BR41" i="35"/>
  <c r="BR39" i="35"/>
  <c r="BR40" i="35"/>
  <c r="CH66" i="35"/>
  <c r="CH61" i="35"/>
  <c r="CH37" i="35"/>
  <c r="CH59" i="35"/>
  <c r="CH60" i="35"/>
  <c r="CH36" i="35"/>
  <c r="CH57" i="35"/>
  <c r="BS61" i="35"/>
  <c r="BS37" i="35"/>
  <c r="BS60" i="35"/>
  <c r="BS59" i="35"/>
  <c r="BS36" i="35"/>
  <c r="BS66" i="35"/>
  <c r="BS57" i="35"/>
  <c r="CV42" i="35"/>
  <c r="CV40" i="35"/>
  <c r="CV38" i="35"/>
  <c r="CV39" i="35"/>
  <c r="CV41" i="35"/>
  <c r="BS41" i="35"/>
  <c r="BS40" i="35"/>
  <c r="BS50" i="35"/>
  <c r="BS42" i="35"/>
  <c r="BS38" i="35"/>
  <c r="BS39" i="35"/>
  <c r="CH42" i="35"/>
  <c r="CH41" i="35"/>
  <c r="CH39" i="35"/>
  <c r="CH38" i="35"/>
  <c r="CH40" i="35"/>
  <c r="CW41" i="35"/>
  <c r="CW38" i="35"/>
  <c r="CW40" i="35"/>
  <c r="CW42" i="35"/>
  <c r="CW39" i="35"/>
  <c r="BD39" i="35"/>
  <c r="BD40" i="35"/>
  <c r="BD38" i="35"/>
  <c r="BD42" i="35"/>
  <c r="BD41" i="35"/>
  <c r="AO38" i="35"/>
  <c r="AO42" i="35"/>
  <c r="AO39" i="35"/>
  <c r="AO50" i="35"/>
  <c r="AO40" i="35"/>
  <c r="AO41" i="35"/>
  <c r="DL42" i="35"/>
  <c r="DL40" i="35"/>
  <c r="DL39" i="35"/>
  <c r="DL38" i="35"/>
  <c r="DL41" i="35"/>
  <c r="DK50" i="35"/>
  <c r="CS43" i="35"/>
  <c r="BN50" i="35"/>
  <c r="DG43" i="35"/>
  <c r="AY50" i="35"/>
  <c r="CQ43" i="35"/>
  <c r="AX50" i="35"/>
  <c r="BL50" i="35"/>
  <c r="CP43" i="35"/>
  <c r="DD50" i="35"/>
  <c r="DB43" i="35"/>
  <c r="CL50" i="35"/>
  <c r="AD43" i="35"/>
  <c r="AC50" i="35"/>
  <c r="AP59" i="35"/>
  <c r="CI59" i="35"/>
  <c r="CD50" i="35"/>
  <c r="BS43" i="35"/>
  <c r="DJ43" i="35"/>
  <c r="BQ43" i="35"/>
  <c r="AL43" i="35"/>
  <c r="BN43" i="35"/>
  <c r="BJ50" i="35"/>
  <c r="BE59" i="35"/>
  <c r="CX59" i="35"/>
  <c r="BW50" i="35"/>
  <c r="CS50" i="35"/>
  <c r="BO58" i="35"/>
  <c r="AW50" i="35"/>
  <c r="CC58" i="35"/>
  <c r="CC62" i="35" s="1"/>
  <c r="CC63" i="35" s="1"/>
  <c r="CC64" i="35" s="1"/>
  <c r="BJ43" i="35"/>
  <c r="BX58" i="35"/>
  <c r="BX62" i="35" s="1"/>
  <c r="BX63" i="35" s="1"/>
  <c r="BF58" i="35"/>
  <c r="BR43" i="35"/>
  <c r="AL50" i="35"/>
  <c r="AL52" i="35" s="1"/>
  <c r="AL53" i="35" s="1"/>
  <c r="AL54" i="35" s="1"/>
  <c r="AL55" i="35" s="1"/>
  <c r="CS58" i="35"/>
  <c r="CO50" i="35"/>
  <c r="AG50" i="35"/>
  <c r="AG52" i="35"/>
  <c r="AG53" i="35"/>
  <c r="AG54" i="35"/>
  <c r="AG55" i="35" s="1"/>
  <c r="BY58" i="35"/>
  <c r="BY62" i="35" s="1"/>
  <c r="BY63" i="35" s="1"/>
  <c r="BW43" i="35"/>
  <c r="BI58" i="35"/>
  <c r="BI62" i="35" s="1"/>
  <c r="BI63" i="35" s="1"/>
  <c r="BI64" i="35" s="1"/>
  <c r="AT58" i="35"/>
  <c r="AT62" i="35" s="1"/>
  <c r="AT63" i="35" s="1"/>
  <c r="AT64" i="35" s="1"/>
  <c r="D80" i="35" s="1"/>
  <c r="CJ58" i="35"/>
  <c r="AO43" i="35"/>
  <c r="BB43" i="35"/>
  <c r="BO50" i="35"/>
  <c r="AJ50" i="35"/>
  <c r="AW58" i="35"/>
  <c r="AW62" i="35" s="1"/>
  <c r="AW63" i="35" s="1"/>
  <c r="AW64" i="35" s="1"/>
  <c r="AH58" i="35"/>
  <c r="AH62" i="35" s="1"/>
  <c r="AH63" i="35" s="1"/>
  <c r="AH64" i="35" s="1"/>
  <c r="CP58" i="35"/>
  <c r="BI50" i="35"/>
  <c r="CN58" i="35"/>
  <c r="CN62" i="35" s="1"/>
  <c r="CN63" i="35" s="1"/>
  <c r="CN64" i="35" s="1"/>
  <c r="DA58" i="35"/>
  <c r="DA62" i="35" s="1"/>
  <c r="DE43" i="35"/>
  <c r="CF43" i="35"/>
  <c r="AJ43" i="35"/>
  <c r="AV50" i="35"/>
  <c r="BT50" i="35"/>
  <c r="DK43" i="35"/>
  <c r="AY43" i="35"/>
  <c r="DH50" i="35"/>
  <c r="DG50" i="35"/>
  <c r="CA50" i="35"/>
  <c r="BZ43" i="35"/>
  <c r="AV43" i="35"/>
  <c r="BT43" i="35"/>
  <c r="BE43" i="35"/>
  <c r="CX43" i="35"/>
  <c r="CH50" i="35"/>
  <c r="CW50" i="35"/>
  <c r="CH43" i="35"/>
  <c r="CU43" i="35"/>
  <c r="BR50" i="35"/>
  <c r="AN50" i="35"/>
  <c r="BA43" i="35"/>
  <c r="DI43" i="35"/>
  <c r="AK43" i="35"/>
  <c r="CA43" i="35"/>
  <c r="DC43" i="35"/>
  <c r="CG43" i="35"/>
  <c r="BD43" i="35"/>
  <c r="DI50" i="35"/>
  <c r="CD43" i="35"/>
  <c r="AX43" i="35"/>
  <c r="DE50" i="35"/>
  <c r="CP50" i="35"/>
  <c r="CO43" i="35"/>
  <c r="AG43" i="35"/>
  <c r="DC50" i="35"/>
  <c r="AU50" i="35"/>
  <c r="BY43" i="35"/>
  <c r="AT50" i="35"/>
  <c r="AT52" i="35" s="1"/>
  <c r="AT53" i="35" s="1"/>
  <c r="AT54" i="35" s="1"/>
  <c r="AT55" i="35" s="1"/>
  <c r="AR50" i="35"/>
  <c r="AR52" i="35"/>
  <c r="AR53" i="35" s="1"/>
  <c r="AR54" i="35" s="1"/>
  <c r="AR55" i="35" s="1"/>
  <c r="S64" i="35"/>
  <c r="I65" i="35"/>
  <c r="DL50" i="35"/>
  <c r="BB50" i="35"/>
  <c r="DH43" i="35"/>
  <c r="AE50" i="35"/>
  <c r="AE52" i="35"/>
  <c r="AE53" i="35" s="1"/>
  <c r="AE54" i="35" s="1"/>
  <c r="AE55" i="35" s="1"/>
  <c r="CX50" i="35"/>
  <c r="CX58" i="35"/>
  <c r="CX62" i="35" s="1"/>
  <c r="CX63" i="35" s="1"/>
  <c r="CX64" i="35" s="1"/>
  <c r="DD43" i="35"/>
  <c r="AQ43" i="35"/>
  <c r="CG57" i="35"/>
  <c r="CV57" i="35"/>
  <c r="DJ57" i="35"/>
  <c r="DI57" i="35"/>
  <c r="BO57" i="35"/>
  <c r="AZ57" i="35"/>
  <c r="DH57" i="35"/>
  <c r="AK57" i="35"/>
  <c r="CR57" i="35"/>
  <c r="CB57" i="35"/>
  <c r="AX57" i="35"/>
  <c r="AH57" i="35"/>
  <c r="CA57" i="35"/>
  <c r="BL57" i="35"/>
  <c r="CN57" i="35"/>
  <c r="BY57" i="35"/>
  <c r="DB57" i="35"/>
  <c r="BW57" i="35"/>
  <c r="CL57" i="35"/>
  <c r="AD57" i="35"/>
  <c r="BV57" i="35"/>
  <c r="BG57" i="35"/>
  <c r="CK57" i="35"/>
  <c r="BE57" i="35"/>
  <c r="AA57" i="35"/>
  <c r="BD57" i="35"/>
  <c r="AN57" i="35"/>
  <c r="BC57" i="35"/>
  <c r="DK57" i="35"/>
  <c r="BR57" i="35"/>
  <c r="BB57" i="35"/>
  <c r="BQ57" i="35"/>
  <c r="CD57" i="35"/>
  <c r="CS57" i="35"/>
  <c r="CS62" i="35"/>
  <c r="CS63" i="35" s="1"/>
  <c r="CS64" i="35" s="1"/>
  <c r="AJ57" i="35"/>
  <c r="CC57" i="35"/>
  <c r="CQ57" i="35"/>
  <c r="AI57" i="35"/>
  <c r="CP57" i="35"/>
  <c r="DD57" i="35"/>
  <c r="AF57" i="35"/>
  <c r="BI57" i="35"/>
  <c r="AS57" i="35"/>
  <c r="AB57" i="35"/>
  <c r="CJ57" i="35"/>
  <c r="CJ62" i="35"/>
  <c r="CJ63" i="35" s="1"/>
  <c r="CJ64" i="35" s="1"/>
  <c r="DL57" i="35"/>
  <c r="AL57" i="35"/>
  <c r="DG57" i="35"/>
  <c r="AY57" i="35"/>
  <c r="DF57" i="35"/>
  <c r="BM57" i="35"/>
  <c r="AG57" i="35"/>
  <c r="BJ57" i="35"/>
  <c r="CM57" i="35"/>
  <c r="CM63" i="35"/>
  <c r="CM64" i="35" s="1"/>
  <c r="BX57" i="35"/>
  <c r="BH57" i="35"/>
  <c r="DA57" i="35"/>
  <c r="DA63" i="35"/>
  <c r="DA64" i="35" s="1"/>
  <c r="AR57" i="35"/>
  <c r="CZ57" i="35"/>
  <c r="BU57" i="35"/>
  <c r="AL51" i="35"/>
  <c r="AM51" i="35"/>
  <c r="AN51" i="35"/>
  <c r="AO51" i="35"/>
  <c r="AP51" i="35"/>
  <c r="AQ51" i="35"/>
  <c r="AR51" i="35"/>
  <c r="AS51" i="35"/>
  <c r="AT51" i="35"/>
  <c r="AU51" i="35"/>
  <c r="AV51" i="35"/>
  <c r="AM52" i="35"/>
  <c r="AM53" i="35" s="1"/>
  <c r="AM54" i="35" s="1"/>
  <c r="AM55" i="35" s="1"/>
  <c r="AN52" i="35"/>
  <c r="AN53" i="35" s="1"/>
  <c r="AN54" i="35" s="1"/>
  <c r="AN55" i="35" s="1"/>
  <c r="AC52" i="35"/>
  <c r="AC53" i="35" s="1"/>
  <c r="AC54" i="35" s="1"/>
  <c r="AC55" i="35" s="1"/>
  <c r="AD52" i="35"/>
  <c r="AD53" i="35" s="1"/>
  <c r="AD54" i="35" s="1"/>
  <c r="AD55" i="35" s="1"/>
  <c r="AO52" i="35"/>
  <c r="AO53" i="35"/>
  <c r="AO54" i="35" s="1"/>
  <c r="AO55" i="35" s="1"/>
  <c r="AJ52" i="35"/>
  <c r="AJ53" i="35" s="1"/>
  <c r="AJ54" i="35"/>
  <c r="AJ55" i="35" s="1"/>
  <c r="CP62" i="35"/>
  <c r="CP63" i="35" s="1"/>
  <c r="CP64" i="35" s="1"/>
  <c r="AU52" i="35"/>
  <c r="AU53" i="35"/>
  <c r="AU54" i="35" s="1"/>
  <c r="AU55" i="35" s="1"/>
  <c r="N63" i="35"/>
  <c r="BK50" i="35"/>
  <c r="BK43" i="35"/>
  <c r="AB50" i="35"/>
  <c r="AB52" i="35" s="1"/>
  <c r="AB53" i="35"/>
  <c r="AB54" i="35" s="1"/>
  <c r="AB55" i="35" s="1"/>
  <c r="AB43" i="35"/>
  <c r="AB47" i="35"/>
  <c r="AB48" i="35" s="1"/>
  <c r="AP50" i="35"/>
  <c r="AP52" i="35"/>
  <c r="AP53" i="35" s="1"/>
  <c r="AP54" i="35" s="1"/>
  <c r="AP55" i="35" s="1"/>
  <c r="AP43" i="35"/>
  <c r="CI50" i="35"/>
  <c r="T63" i="35"/>
  <c r="DI58" i="35"/>
  <c r="DI62" i="35" s="1"/>
  <c r="DI63" i="35" s="1"/>
  <c r="DI64" i="35" s="1"/>
  <c r="BP58" i="35"/>
  <c r="BP62" i="35" s="1"/>
  <c r="BP63" i="35" s="1"/>
  <c r="BP64" i="35" s="1"/>
  <c r="DJ58" i="35"/>
  <c r="DJ62" i="35" s="1"/>
  <c r="DJ63" i="35" s="1"/>
  <c r="DJ64" i="35" s="1"/>
  <c r="BR58" i="35"/>
  <c r="BR62" i="35" s="1"/>
  <c r="BR63" i="35"/>
  <c r="BR64" i="35" s="1"/>
  <c r="BC58" i="35"/>
  <c r="CW43" i="35"/>
  <c r="BQ50" i="35"/>
  <c r="DL43" i="35"/>
  <c r="CG50" i="35"/>
  <c r="CV58" i="35"/>
  <c r="BA50" i="35"/>
  <c r="CT50" i="35"/>
  <c r="BP50" i="35"/>
  <c r="AZ50" i="35"/>
  <c r="BC50" i="35"/>
  <c r="AF50" i="35"/>
  <c r="AF52" i="35"/>
  <c r="AF53" i="35" s="1"/>
  <c r="AF54" i="35" s="1"/>
  <c r="AF55" i="35" s="1"/>
  <c r="AF43" i="35"/>
  <c r="CB50" i="35"/>
  <c r="CB43" i="35"/>
  <c r="AH50" i="35"/>
  <c r="AH52" i="35"/>
  <c r="AH53" i="35" s="1"/>
  <c r="AH54" i="35" s="1"/>
  <c r="AH55" i="35" s="1"/>
  <c r="C83" i="35" s="1"/>
  <c r="CN50" i="35"/>
  <c r="CN43" i="35"/>
  <c r="CE43" i="35"/>
  <c r="BL43" i="35"/>
  <c r="AH43" i="35"/>
  <c r="DA43" i="35"/>
  <c r="DA50" i="35"/>
  <c r="CY50" i="35"/>
  <c r="BA59" i="35"/>
  <c r="DI59" i="35"/>
  <c r="CC43" i="35"/>
  <c r="AU43" i="35"/>
  <c r="BF62" i="35"/>
  <c r="BF63" i="35" s="1"/>
  <c r="BF64" i="35" s="1"/>
  <c r="DF50" i="35"/>
  <c r="AW47" i="35"/>
  <c r="AW48" i="35" s="1"/>
  <c r="CV43" i="35"/>
  <c r="CV50" i="35"/>
  <c r="BD50" i="35"/>
  <c r="BO62" i="35"/>
  <c r="BO63" i="35" s="1"/>
  <c r="BO64" i="35" s="1"/>
  <c r="AI50" i="35"/>
  <c r="AI52" i="35"/>
  <c r="AI53" i="35" s="1"/>
  <c r="AI54" i="35" s="1"/>
  <c r="AI55" i="35" s="1"/>
  <c r="CC47" i="35"/>
  <c r="CC48" i="35" s="1"/>
  <c r="BC43" i="35"/>
  <c r="BP43" i="35"/>
  <c r="CE50" i="35"/>
  <c r="AK50" i="35"/>
  <c r="AK52" i="35"/>
  <c r="AK53" i="35" s="1"/>
  <c r="AK54" i="35" s="1"/>
  <c r="AK55" i="35" s="1"/>
  <c r="AI43" i="35"/>
  <c r="AZ43" i="35"/>
  <c r="AS47" i="35"/>
  <c r="AS48" i="35" s="1"/>
  <c r="AS50" i="35"/>
  <c r="AS52" i="35" s="1"/>
  <c r="AS53" i="35" s="1"/>
  <c r="AS54" i="35" s="1"/>
  <c r="AS55" i="35" s="1"/>
  <c r="AS43" i="35"/>
  <c r="BG50" i="35"/>
  <c r="BG43" i="35"/>
  <c r="CM50" i="35"/>
  <c r="CM43" i="35"/>
  <c r="BY64" i="35"/>
  <c r="BU50" i="35"/>
  <c r="BU43" i="35"/>
  <c r="BH50" i="35"/>
  <c r="BH52" i="35" s="1"/>
  <c r="BH53" i="35" s="1"/>
  <c r="BH54" i="35" s="1"/>
  <c r="BH55" i="35" s="1"/>
  <c r="BH43" i="35"/>
  <c r="AT43" i="35"/>
  <c r="BC62" i="35"/>
  <c r="BC63" i="35" s="1"/>
  <c r="BC64" i="35" s="1"/>
  <c r="BE46" i="35"/>
  <c r="AR46" i="35"/>
  <c r="DA46" i="35"/>
  <c r="DD46" i="35"/>
  <c r="AV46" i="35"/>
  <c r="BL46" i="35"/>
  <c r="DF46" i="35"/>
  <c r="AI46" i="35"/>
  <c r="AB46" i="35"/>
  <c r="AP46" i="35"/>
  <c r="CZ46" i="35"/>
  <c r="AT46" i="35"/>
  <c r="BX46" i="35"/>
  <c r="DC46" i="35"/>
  <c r="AU46" i="35"/>
  <c r="AG46" i="35"/>
  <c r="CC46" i="35"/>
  <c r="BU46" i="35"/>
  <c r="AA46" i="35"/>
  <c r="BT46" i="35"/>
  <c r="CK46" i="35"/>
  <c r="AD46" i="35"/>
  <c r="AS46" i="35"/>
  <c r="CL46" i="35"/>
  <c r="BW46" i="35"/>
  <c r="BH46" i="35"/>
  <c r="AE46" i="35"/>
  <c r="CM46" i="35"/>
  <c r="BK46" i="35"/>
  <c r="CA46" i="35"/>
  <c r="CR46" i="35"/>
  <c r="BN46" i="35"/>
  <c r="DG46" i="35"/>
  <c r="BZ46" i="35"/>
  <c r="CI46" i="35"/>
  <c r="CJ46" i="35"/>
  <c r="BF46" i="35"/>
  <c r="BI46" i="35"/>
  <c r="DB46" i="35"/>
  <c r="BJ46" i="35"/>
  <c r="BY46" i="35"/>
  <c r="CN46" i="35"/>
  <c r="CO46" i="35"/>
  <c r="DE46" i="35"/>
  <c r="CP46" i="35"/>
  <c r="AH46" i="35"/>
  <c r="AW46" i="35"/>
  <c r="BM46" i="35"/>
  <c r="AX46" i="35"/>
  <c r="CQ46" i="35"/>
  <c r="AY46" i="35"/>
  <c r="AJ46" i="35"/>
  <c r="AQ46" i="35"/>
  <c r="CX46" i="35"/>
  <c r="CY46" i="35"/>
  <c r="BG46" i="35"/>
  <c r="BV46" i="35"/>
  <c r="AC46" i="35"/>
  <c r="AF46" i="35"/>
  <c r="CB46" i="35"/>
  <c r="BX64" i="35"/>
  <c r="S65" i="35"/>
  <c r="S66" i="35"/>
  <c r="I67" i="35"/>
  <c r="CV62" i="35"/>
  <c r="CV63" i="35"/>
  <c r="CV64" i="35" s="1"/>
  <c r="AW51" i="35"/>
  <c r="AV52" i="35"/>
  <c r="AV53" i="35"/>
  <c r="AV54" i="35"/>
  <c r="AV55" i="35" s="1"/>
  <c r="I66" i="35"/>
  <c r="CS46" i="35"/>
  <c r="AK46" i="35"/>
  <c r="CD46" i="35"/>
  <c r="BA46" i="35"/>
  <c r="CT46" i="35"/>
  <c r="T64" i="35"/>
  <c r="T65" i="35"/>
  <c r="T66" i="35"/>
  <c r="DH46" i="35"/>
  <c r="DI46" i="35"/>
  <c r="AZ46" i="35"/>
  <c r="CV46" i="35"/>
  <c r="BD46" i="35"/>
  <c r="CH46" i="35"/>
  <c r="BO46" i="35"/>
  <c r="AL46" i="35"/>
  <c r="BP46" i="35"/>
  <c r="CU46" i="35"/>
  <c r="AM46" i="35"/>
  <c r="BR46" i="35"/>
  <c r="CF46" i="35"/>
  <c r="CG46" i="35"/>
  <c r="DK46" i="35"/>
  <c r="DL46" i="35"/>
  <c r="AO46" i="35"/>
  <c r="BQ46" i="35"/>
  <c r="CE46" i="35"/>
  <c r="BB46" i="35"/>
  <c r="BC46" i="35"/>
  <c r="BS46" i="35"/>
  <c r="DJ46" i="35"/>
  <c r="AN46" i="35"/>
  <c r="CW46" i="35"/>
  <c r="AX51" i="35"/>
  <c r="AW52" i="35"/>
  <c r="AW53" i="35" s="1"/>
  <c r="AW54" i="35" s="1"/>
  <c r="AW55" i="35" s="1"/>
  <c r="AY51" i="35"/>
  <c r="AX52" i="35"/>
  <c r="AX53" i="35"/>
  <c r="AX54" i="35" s="1"/>
  <c r="AX55" i="35" s="1"/>
  <c r="AZ51" i="35"/>
  <c r="AY52" i="35"/>
  <c r="AY53" i="35" s="1"/>
  <c r="AY54" i="35" s="1"/>
  <c r="AY55" i="35" s="1"/>
  <c r="BE51" i="35"/>
  <c r="BA51" i="35"/>
  <c r="AZ52" i="35"/>
  <c r="AZ53" i="35"/>
  <c r="AZ54" i="35" s="1"/>
  <c r="AZ55" i="35" s="1"/>
  <c r="BB51" i="35"/>
  <c r="BA52" i="35"/>
  <c r="BA53" i="35" s="1"/>
  <c r="BA54" i="35" s="1"/>
  <c r="BA55" i="35"/>
  <c r="BF51" i="35"/>
  <c r="BE52" i="35"/>
  <c r="BE53" i="35"/>
  <c r="BE54" i="35" s="1"/>
  <c r="BE55" i="35" s="1"/>
  <c r="BG51" i="35"/>
  <c r="BF52" i="35"/>
  <c r="BF53" i="35" s="1"/>
  <c r="BF54" i="35" s="1"/>
  <c r="BF55" i="35" s="1"/>
  <c r="E77" i="35" s="1"/>
  <c r="BC51" i="35"/>
  <c r="BB52" i="35"/>
  <c r="BB53" i="35"/>
  <c r="BB54" i="35" s="1"/>
  <c r="BB55" i="35" s="1"/>
  <c r="BH51" i="35"/>
  <c r="BG52" i="35"/>
  <c r="BG53" i="35" s="1"/>
  <c r="BG54" i="35" s="1"/>
  <c r="BG55" i="35"/>
  <c r="BD51" i="35"/>
  <c r="BD52" i="35"/>
  <c r="BD53" i="35"/>
  <c r="BD54" i="35" s="1"/>
  <c r="BD55" i="35" s="1"/>
  <c r="BC52" i="35"/>
  <c r="BC53" i="35"/>
  <c r="BC54" i="35" s="1"/>
  <c r="BC55" i="35" s="1"/>
  <c r="BI51" i="35"/>
  <c r="BJ51" i="35"/>
  <c r="BI52" i="35"/>
  <c r="BI53" i="35" s="1"/>
  <c r="BI54" i="35" s="1"/>
  <c r="BI55" i="35" s="1"/>
  <c r="E80" i="35" s="1"/>
  <c r="BK51" i="35"/>
  <c r="BJ52" i="35"/>
  <c r="BJ53" i="35"/>
  <c r="BJ54" i="35"/>
  <c r="BJ55" i="35" s="1"/>
  <c r="BL51" i="35"/>
  <c r="BK52" i="35"/>
  <c r="BK53" i="35"/>
  <c r="BK54" i="35" s="1"/>
  <c r="BK55" i="35" s="1"/>
  <c r="BM51" i="35"/>
  <c r="BL52" i="35"/>
  <c r="BL53" i="35"/>
  <c r="BL54" i="35"/>
  <c r="BL55" i="35" s="1"/>
  <c r="BN51" i="35"/>
  <c r="BM52" i="35"/>
  <c r="BM53" i="35"/>
  <c r="BM54" i="35" s="1"/>
  <c r="BM55" i="35" s="1"/>
  <c r="BO51" i="35"/>
  <c r="BN52" i="35"/>
  <c r="BN53" i="35"/>
  <c r="BN54" i="35"/>
  <c r="BN55" i="35" s="1"/>
  <c r="BT51" i="35"/>
  <c r="BP51" i="35"/>
  <c r="BO52" i="35"/>
  <c r="BO53" i="35" s="1"/>
  <c r="BO54" i="35" s="1"/>
  <c r="BO55" i="35" s="1"/>
  <c r="BQ51" i="35"/>
  <c r="BP52" i="35"/>
  <c r="BP53" i="35"/>
  <c r="BP54" i="35" s="1"/>
  <c r="BP55" i="35" s="1"/>
  <c r="BU51" i="35"/>
  <c r="BT52" i="35"/>
  <c r="BT53" i="35" s="1"/>
  <c r="BT54" i="35" s="1"/>
  <c r="BT55" i="35" s="1"/>
  <c r="BV51" i="35"/>
  <c r="BU52" i="35"/>
  <c r="BU53" i="35"/>
  <c r="BU54" i="35"/>
  <c r="BU55" i="35" s="1"/>
  <c r="BR51" i="35"/>
  <c r="BQ52" i="35"/>
  <c r="BQ53" i="35" s="1"/>
  <c r="BQ54" i="35" s="1"/>
  <c r="BQ55" i="35" s="1"/>
  <c r="BS51" i="35"/>
  <c r="BS52" i="35"/>
  <c r="BS53" i="35"/>
  <c r="BS54" i="35" s="1"/>
  <c r="BS55" i="35" s="1"/>
  <c r="BR52" i="35"/>
  <c r="BR53" i="35" s="1"/>
  <c r="BR54" i="35" s="1"/>
  <c r="BR55" i="35" s="1"/>
  <c r="BW51" i="35"/>
  <c r="BV52" i="35"/>
  <c r="BV53" i="35"/>
  <c r="BV54" i="35"/>
  <c r="BV55" i="35"/>
  <c r="BX51" i="35"/>
  <c r="BW52" i="35"/>
  <c r="BW53" i="35" s="1"/>
  <c r="BW54" i="35" s="1"/>
  <c r="BW55" i="35" s="1"/>
  <c r="BY51" i="35"/>
  <c r="BX52" i="35"/>
  <c r="BX53" i="35"/>
  <c r="BX54" i="35" s="1"/>
  <c r="BX55" i="35" s="1"/>
  <c r="F80" i="35" s="1"/>
  <c r="BY52" i="35"/>
  <c r="BY53" i="35"/>
  <c r="BY54" i="35" s="1"/>
  <c r="BY55" i="35" s="1"/>
  <c r="F81" i="35" s="1"/>
  <c r="BZ51" i="35"/>
  <c r="CA51" i="35"/>
  <c r="BZ52" i="35"/>
  <c r="BZ53" i="35"/>
  <c r="BZ54" i="35" s="1"/>
  <c r="BZ55" i="35" s="1"/>
  <c r="CB51" i="35"/>
  <c r="CA52" i="35"/>
  <c r="CA53" i="35"/>
  <c r="CA54" i="35" s="1"/>
  <c r="CA55" i="35" s="1"/>
  <c r="CC51" i="35"/>
  <c r="CB52" i="35"/>
  <c r="CB53" i="35"/>
  <c r="CB54" i="35" s="1"/>
  <c r="CB55" i="35" s="1"/>
  <c r="CD51" i="35"/>
  <c r="CC52" i="35"/>
  <c r="CC53" i="35" s="1"/>
  <c r="CC54" i="35" s="1"/>
  <c r="CC55" i="35" s="1"/>
  <c r="F85" i="35" s="1"/>
  <c r="CE51" i="35"/>
  <c r="CI51" i="35"/>
  <c r="CD52" i="35"/>
  <c r="CD53" i="35"/>
  <c r="CD54" i="35" s="1"/>
  <c r="CD55" i="35" s="1"/>
  <c r="CJ51" i="35"/>
  <c r="CI52" i="35"/>
  <c r="CI53" i="35" s="1"/>
  <c r="CI54" i="35" s="1"/>
  <c r="CI55" i="35" s="1"/>
  <c r="CF51" i="35"/>
  <c r="CE52" i="35"/>
  <c r="CE53" i="35"/>
  <c r="CE54" i="35" s="1"/>
  <c r="CE55" i="35" s="1"/>
  <c r="CG51" i="35"/>
  <c r="CF52" i="35"/>
  <c r="CF53" i="35" s="1"/>
  <c r="CF54" i="35" s="1"/>
  <c r="CF55" i="35" s="1"/>
  <c r="CK51" i="35"/>
  <c r="CJ52" i="35"/>
  <c r="CJ53" i="35"/>
  <c r="CJ54" i="35" s="1"/>
  <c r="CJ55" i="35" s="1"/>
  <c r="G77" i="35" s="1"/>
  <c r="CL51" i="35"/>
  <c r="CK52" i="35"/>
  <c r="CK53" i="35" s="1"/>
  <c r="CK54" i="35" s="1"/>
  <c r="CK55" i="35" s="1"/>
  <c r="CH51" i="35"/>
  <c r="CH52" i="35"/>
  <c r="CH53" i="35"/>
  <c r="CH54" i="35" s="1"/>
  <c r="CH55" i="35" s="1"/>
  <c r="CG52" i="35"/>
  <c r="CG53" i="35"/>
  <c r="CG54" i="35" s="1"/>
  <c r="CG55" i="35" s="1"/>
  <c r="CM51" i="35"/>
  <c r="CL52" i="35"/>
  <c r="CL53" i="35" s="1"/>
  <c r="CL54" i="35" s="1"/>
  <c r="CL55" i="35" s="1"/>
  <c r="CN51" i="35"/>
  <c r="CM52" i="35"/>
  <c r="CM53" i="35"/>
  <c r="CM54" i="35" s="1"/>
  <c r="CM55" i="35" s="1"/>
  <c r="G80" i="35" s="1"/>
  <c r="CO51" i="35"/>
  <c r="CN52" i="35"/>
  <c r="CN53" i="35" s="1"/>
  <c r="CN54" i="35" s="1"/>
  <c r="CN55" i="35" s="1"/>
  <c r="G81" i="35" s="1"/>
  <c r="CP51" i="35"/>
  <c r="CO52" i="35"/>
  <c r="CO53" i="35"/>
  <c r="CO54" i="35" s="1"/>
  <c r="CO55" i="35" s="1"/>
  <c r="CQ51" i="35"/>
  <c r="CP52" i="35"/>
  <c r="CP53" i="35" s="1"/>
  <c r="CP54" i="35" s="1"/>
  <c r="CP55" i="35" s="1"/>
  <c r="CR51" i="35"/>
  <c r="CQ52" i="35"/>
  <c r="CQ53" i="35"/>
  <c r="CQ54" i="35" s="1"/>
  <c r="CQ55" i="35" s="1"/>
  <c r="CS51" i="35"/>
  <c r="CR52" i="35"/>
  <c r="CR53" i="35" s="1"/>
  <c r="CR54" i="35" s="1"/>
  <c r="CR55" i="35" s="1"/>
  <c r="CT51" i="35"/>
  <c r="CX51" i="35"/>
  <c r="CS52" i="35"/>
  <c r="CS53" i="35" s="1"/>
  <c r="CS54" i="35" s="1"/>
  <c r="CS55" i="35" s="1"/>
  <c r="G86" i="35" s="1"/>
  <c r="CY51" i="35"/>
  <c r="CX52" i="35"/>
  <c r="CX53" i="35"/>
  <c r="CX54" i="35" s="1"/>
  <c r="CX55" i="35" s="1"/>
  <c r="H76" i="35" s="1"/>
  <c r="CU51" i="35"/>
  <c r="CT52" i="35"/>
  <c r="CT53" i="35" s="1"/>
  <c r="CT54" i="35" s="1"/>
  <c r="CT55" i="35" s="1"/>
  <c r="CV51" i="35"/>
  <c r="CU52" i="35"/>
  <c r="CU53" i="35"/>
  <c r="CU54" i="35" s="1"/>
  <c r="CU55" i="35" s="1"/>
  <c r="CZ51" i="35"/>
  <c r="CY52" i="35"/>
  <c r="CY53" i="35" s="1"/>
  <c r="CY54" i="35" s="1"/>
  <c r="CY55" i="35" s="1"/>
  <c r="DA51" i="35"/>
  <c r="CZ52" i="35"/>
  <c r="CZ53" i="35"/>
  <c r="CZ54" i="35" s="1"/>
  <c r="CZ55" i="35" s="1"/>
  <c r="CW51" i="35"/>
  <c r="CW52" i="35"/>
  <c r="CW53" i="35" s="1"/>
  <c r="CW54" i="35" s="1"/>
  <c r="CW55" i="35" s="1"/>
  <c r="CV52" i="35"/>
  <c r="CV53" i="35" s="1"/>
  <c r="CV54" i="35" s="1"/>
  <c r="CV55" i="35" s="1"/>
  <c r="DB51" i="35"/>
  <c r="DA52" i="35"/>
  <c r="DA53" i="35"/>
  <c r="DA54" i="35" s="1"/>
  <c r="DA55" i="35" s="1"/>
  <c r="H79" i="35" s="1"/>
  <c r="DC51" i="35"/>
  <c r="DB52" i="35"/>
  <c r="DB53" i="35" s="1"/>
  <c r="DB54" i="35" s="1"/>
  <c r="DB55" i="35" s="1"/>
  <c r="DD51" i="35"/>
  <c r="DC52" i="35"/>
  <c r="DC53" i="35"/>
  <c r="DC54" i="35" s="1"/>
  <c r="DC55" i="35" s="1"/>
  <c r="DE51" i="35"/>
  <c r="DD52" i="35"/>
  <c r="DD53" i="35" s="1"/>
  <c r="DD54" i="35" s="1"/>
  <c r="DD55" i="35" s="1"/>
  <c r="DF51" i="35"/>
  <c r="DE52" i="35"/>
  <c r="DE53" i="35"/>
  <c r="DE54" i="35" s="1"/>
  <c r="DE55" i="35" s="1"/>
  <c r="DG51" i="35"/>
  <c r="DF52" i="35"/>
  <c r="DF53" i="35" s="1"/>
  <c r="DF54" i="35" s="1"/>
  <c r="DF55" i="35" s="1"/>
  <c r="DG52" i="35"/>
  <c r="DG53" i="35"/>
  <c r="DG54" i="35" s="1"/>
  <c r="DG55" i="35" s="1"/>
  <c r="DH51" i="35"/>
  <c r="DI51" i="35"/>
  <c r="DH52" i="35"/>
  <c r="DH53" i="35" s="1"/>
  <c r="DH54" i="35" s="1"/>
  <c r="DH55" i="35" s="1"/>
  <c r="DJ51" i="35"/>
  <c r="DI52" i="35"/>
  <c r="DI53" i="35"/>
  <c r="DI54" i="35" s="1"/>
  <c r="DI55" i="35" s="1"/>
  <c r="H87" i="35" s="1"/>
  <c r="DK51" i="35"/>
  <c r="DJ52" i="35"/>
  <c r="DJ53" i="35" s="1"/>
  <c r="DJ54" i="35" s="1"/>
  <c r="DJ55" i="35" s="1"/>
  <c r="H88" i="35" s="1"/>
  <c r="DK52" i="35"/>
  <c r="DK53" i="35"/>
  <c r="DK54" i="35" s="1"/>
  <c r="DK55" i="35" s="1"/>
  <c r="DL51" i="35"/>
  <c r="DL52" i="35"/>
  <c r="DL53" i="35" s="1"/>
  <c r="DL54" i="35" s="1"/>
  <c r="DL55" i="35" s="1"/>
  <c r="G89" i="35" l="1"/>
  <c r="D89" i="35"/>
  <c r="AA47" i="35"/>
  <c r="AA48" i="35" s="1"/>
  <c r="BF47" i="35"/>
  <c r="BF48" i="35" s="1"/>
  <c r="AF47" i="35"/>
  <c r="AF48" i="35" s="1"/>
  <c r="DE47" i="35"/>
  <c r="DE48" i="35" s="1"/>
  <c r="CP47" i="35"/>
  <c r="CP48" i="35" s="1"/>
  <c r="CR47" i="35"/>
  <c r="CR48" i="35" s="1"/>
  <c r="AJ47" i="35"/>
  <c r="AJ48" i="35" s="1"/>
  <c r="AZ47" i="35"/>
  <c r="AZ48" i="35" s="1"/>
  <c r="DJ47" i="35"/>
  <c r="DJ48" i="35" s="1"/>
  <c r="BB47" i="35"/>
  <c r="BB48" i="35" s="1"/>
  <c r="AK47" i="35"/>
  <c r="AK48" i="35" s="1"/>
  <c r="CJ47" i="35"/>
  <c r="CJ48" i="35" s="1"/>
  <c r="DB47" i="35"/>
  <c r="DB48" i="35" s="1"/>
  <c r="AL47" i="35"/>
  <c r="AL48" i="35" s="1"/>
  <c r="AQ47" i="35"/>
  <c r="AQ48" i="35" s="1"/>
  <c r="AN47" i="35"/>
  <c r="AN48" i="35" s="1"/>
  <c r="BO47" i="35"/>
  <c r="BO48" i="35" s="1"/>
  <c r="BY47" i="35"/>
  <c r="BY48" i="35" s="1"/>
  <c r="CW47" i="35"/>
  <c r="CW48" i="35" s="1"/>
  <c r="BN47" i="35"/>
  <c r="BN48" i="35" s="1"/>
  <c r="BL47" i="35"/>
  <c r="BL48" i="35" s="1"/>
  <c r="CI47" i="35"/>
  <c r="CI48" i="35" s="1"/>
  <c r="BA47" i="35"/>
  <c r="BA48" i="35" s="1"/>
  <c r="AH47" i="35"/>
  <c r="AH48" i="35" s="1"/>
  <c r="DA47" i="35"/>
  <c r="DA48" i="35" s="1"/>
  <c r="DL47" i="35"/>
  <c r="DL48" i="35" s="1"/>
  <c r="CM47" i="35"/>
  <c r="CM48" i="35" s="1"/>
  <c r="BG47" i="35"/>
  <c r="BG48" i="35" s="1"/>
  <c r="BH47" i="35"/>
  <c r="BH48" i="35" s="1"/>
  <c r="CK47" i="35"/>
  <c r="CK48" i="35" s="1"/>
  <c r="CZ47" i="35"/>
  <c r="CZ48" i="35" s="1"/>
  <c r="BV47" i="35"/>
  <c r="BV48" i="35" s="1"/>
  <c r="CD47" i="35"/>
  <c r="CD48" i="35" s="1"/>
  <c r="CA47" i="35"/>
  <c r="CA48" i="35" s="1"/>
  <c r="BI47" i="35"/>
  <c r="BI48" i="35" s="1"/>
  <c r="BR47" i="35"/>
  <c r="BR48" i="35" s="1"/>
  <c r="BT47" i="35"/>
  <c r="BT48" i="35" s="1"/>
  <c r="BW47" i="35"/>
  <c r="BW48" i="35" s="1"/>
  <c r="AR47" i="35"/>
  <c r="AR48" i="35" s="1"/>
  <c r="CU47" i="35"/>
  <c r="CU48" i="35" s="1"/>
  <c r="AT47" i="35"/>
  <c r="AT48" i="35" s="1"/>
  <c r="BX47" i="35"/>
  <c r="BX48" i="35" s="1"/>
  <c r="DK47" i="35"/>
  <c r="DK48" i="35" s="1"/>
  <c r="BK47" i="35"/>
  <c r="BK48" i="35" s="1"/>
  <c r="BQ47" i="35"/>
  <c r="BQ48" i="35" s="1"/>
  <c r="CT47" i="35"/>
  <c r="CT48" i="35" s="1"/>
  <c r="CB47" i="35"/>
  <c r="CB48" i="35" s="1"/>
  <c r="AM47" i="35"/>
  <c r="AM48" i="35" s="1"/>
  <c r="CY47" i="35"/>
  <c r="CY48" i="35" s="1"/>
  <c r="AO47" i="35"/>
  <c r="AO48" i="35" s="1"/>
  <c r="DF47" i="35"/>
  <c r="DF48" i="35" s="1"/>
  <c r="BM47" i="35"/>
  <c r="BM48" i="35" s="1"/>
  <c r="BZ47" i="35"/>
  <c r="BZ48" i="35" s="1"/>
  <c r="AE47" i="35"/>
  <c r="AE48" i="35" s="1"/>
  <c r="DC47" i="35"/>
  <c r="DC48" i="35" s="1"/>
  <c r="AP47" i="35"/>
  <c r="AP48" i="35" s="1"/>
  <c r="AC47" i="35"/>
  <c r="AC48" i="35" s="1"/>
  <c r="CN47" i="35"/>
  <c r="CN48" i="35" s="1"/>
  <c r="AV47" i="35"/>
  <c r="AV48" i="35" s="1"/>
  <c r="BJ47" i="35"/>
  <c r="BJ48" i="35" s="1"/>
  <c r="CQ47" i="35"/>
  <c r="CQ48" i="35" s="1"/>
  <c r="BS47" i="35"/>
  <c r="BS48" i="35" s="1"/>
  <c r="CG47" i="35"/>
  <c r="CG48" i="35" s="1"/>
  <c r="BC47" i="35"/>
  <c r="BC48" i="35" s="1"/>
  <c r="AY47" i="35"/>
  <c r="AY48" i="35" s="1"/>
  <c r="AI47" i="35"/>
  <c r="AI48" i="35" s="1"/>
  <c r="AD47" i="35"/>
  <c r="AD48" i="35" s="1"/>
  <c r="DH47" i="35"/>
  <c r="DH48" i="35" s="1"/>
  <c r="CX47" i="35"/>
  <c r="CX48" i="35" s="1"/>
  <c r="CF47" i="35"/>
  <c r="CF48" i="35" s="1"/>
  <c r="BP47" i="35"/>
  <c r="BP48" i="35" s="1"/>
  <c r="DI47" i="35"/>
  <c r="DI48" i="35" s="1"/>
  <c r="AU47" i="35"/>
  <c r="AU48" i="35" s="1"/>
  <c r="CO47" i="35"/>
  <c r="CO48" i="35" s="1"/>
  <c r="CV47" i="35"/>
  <c r="CV48" i="35" s="1"/>
  <c r="BD47" i="35"/>
  <c r="BD48" i="35" s="1"/>
  <c r="CE47" i="35"/>
  <c r="CE48" i="35" s="1"/>
  <c r="DD47" i="35"/>
  <c r="DD48" i="35" s="1"/>
  <c r="BU47" i="35"/>
  <c r="BU48" i="35" s="1"/>
  <c r="BE47" i="35"/>
  <c r="BE48" i="35" s="1"/>
  <c r="CL47" i="35"/>
  <c r="CL48" i="35" s="1"/>
  <c r="CH47" i="35"/>
  <c r="CH48" i="35" s="1"/>
  <c r="CS47" i="35"/>
  <c r="CS48" i="35" s="1"/>
  <c r="AG47" i="35"/>
  <c r="AG48" i="35" s="1"/>
  <c r="DG47" i="35"/>
  <c r="DG48" i="35" s="1"/>
  <c r="AX47" i="35"/>
  <c r="AX48" i="35" s="1"/>
  <c r="D78" i="35"/>
  <c r="E89" i="35"/>
  <c r="E85" i="35"/>
  <c r="N64" i="35"/>
  <c r="E86" i="35"/>
  <c r="G83" i="35"/>
  <c r="D83" i="35"/>
  <c r="G82" i="35"/>
  <c r="G76" i="35"/>
  <c r="E88" i="35"/>
  <c r="H86" i="35"/>
  <c r="F77" i="35"/>
  <c r="E87" i="35"/>
  <c r="C80" i="35"/>
  <c r="C77" i="35"/>
  <c r="CY58" i="35"/>
  <c r="CY62" i="35" s="1"/>
  <c r="CY63" i="35" s="1"/>
  <c r="CY64" i="35" s="1"/>
  <c r="H77" i="35" s="1"/>
  <c r="CG58" i="35"/>
  <c r="CG62" i="35" s="1"/>
  <c r="CG63" i="35" s="1"/>
  <c r="CG64" i="35" s="1"/>
  <c r="F89" i="35" s="1"/>
  <c r="AN58" i="35"/>
  <c r="AN62" i="35" s="1"/>
  <c r="AN63" i="35" s="1"/>
  <c r="AN64" i="35" s="1"/>
  <c r="C89" i="35" s="1"/>
  <c r="BD58" i="35"/>
  <c r="BD62" i="35" s="1"/>
  <c r="BD63" i="35" s="1"/>
  <c r="BD64" i="35" s="1"/>
  <c r="D90" i="35" s="1"/>
  <c r="CW58" i="35"/>
  <c r="CW62" i="35" s="1"/>
  <c r="CW63" i="35" s="1"/>
  <c r="CW64" i="35" s="1"/>
  <c r="G90" i="35" s="1"/>
  <c r="BQ58" i="35"/>
  <c r="BQ62" i="35" s="1"/>
  <c r="BQ63" i="35" s="1"/>
  <c r="BQ64" i="35" s="1"/>
  <c r="BB58" i="35"/>
  <c r="BB62" i="35" s="1"/>
  <c r="BB63" i="35" s="1"/>
  <c r="BB64" i="35" s="1"/>
  <c r="D88" i="35" s="1"/>
  <c r="DK58" i="35"/>
  <c r="DK62" i="35" s="1"/>
  <c r="DK63" i="35" s="1"/>
  <c r="DK64" i="35" s="1"/>
  <c r="H89" i="35" s="1"/>
  <c r="CT58" i="35"/>
  <c r="CT62" i="35" s="1"/>
  <c r="CT63" i="35" s="1"/>
  <c r="CT64" i="35" s="1"/>
  <c r="G87" i="35" s="1"/>
  <c r="CE58" i="35"/>
  <c r="CE62" i="35" s="1"/>
  <c r="CE63" i="35" s="1"/>
  <c r="CE64" i="35" s="1"/>
  <c r="F87" i="35" s="1"/>
  <c r="AO58" i="35"/>
  <c r="AO62" i="35" s="1"/>
  <c r="AO63" i="35" s="1"/>
  <c r="AO64" i="35" s="1"/>
  <c r="C90" i="35" s="1"/>
  <c r="AL58" i="35"/>
  <c r="AL62" i="35" s="1"/>
  <c r="AL63" i="35" s="1"/>
  <c r="AL64" i="35" s="1"/>
  <c r="C87" i="35" s="1"/>
  <c r="CL58" i="35"/>
  <c r="CL62" i="35" s="1"/>
  <c r="CL63" i="35" s="1"/>
  <c r="CL64" i="35" s="1"/>
  <c r="G79" i="35" s="1"/>
  <c r="CO58" i="35"/>
  <c r="CO62" i="35" s="1"/>
  <c r="CO63" i="35" s="1"/>
  <c r="CO64" i="35" s="1"/>
  <c r="BZ58" i="35"/>
  <c r="BZ62" i="35" s="1"/>
  <c r="BZ63" i="35" s="1"/>
  <c r="BZ64" i="35" s="1"/>
  <c r="F82" i="35" s="1"/>
  <c r="AX58" i="35"/>
  <c r="AX62" i="35" s="1"/>
  <c r="AX63" i="35" s="1"/>
  <c r="AX64" i="35" s="1"/>
  <c r="D84" i="35" s="1"/>
  <c r="AM58" i="35"/>
  <c r="AM62" i="35" s="1"/>
  <c r="AM63" i="35" s="1"/>
  <c r="AM64" i="35" s="1"/>
  <c r="C88" i="35" s="1"/>
  <c r="CI58" i="35"/>
  <c r="CI62" i="35" s="1"/>
  <c r="CI63" i="35" s="1"/>
  <c r="CI64" i="35" s="1"/>
  <c r="CK58" i="35"/>
  <c r="CK62" i="35" s="1"/>
  <c r="CK63" i="35" s="1"/>
  <c r="CK64" i="35" s="1"/>
  <c r="G78" i="35" s="1"/>
  <c r="DB58" i="35"/>
  <c r="DB62" i="35" s="1"/>
  <c r="DB63" i="35" s="1"/>
  <c r="DB64" i="35" s="1"/>
  <c r="H80" i="35" s="1"/>
  <c r="AF58" i="35"/>
  <c r="AF62" i="35" s="1"/>
  <c r="AF63" i="35" s="1"/>
  <c r="AF64" i="35" s="1"/>
  <c r="C81" i="35" s="1"/>
  <c r="BM58" i="35"/>
  <c r="BM62" i="35" s="1"/>
  <c r="BM63" i="35" s="1"/>
  <c r="BM64" i="35" s="1"/>
  <c r="E84" i="35" s="1"/>
  <c r="AK58" i="35"/>
  <c r="AK62" i="35" s="1"/>
  <c r="AK63" i="35" s="1"/>
  <c r="AK64" i="35" s="1"/>
  <c r="C86" i="35" s="1"/>
  <c r="BG58" i="35"/>
  <c r="BG62" i="35" s="1"/>
  <c r="BG63" i="35" s="1"/>
  <c r="BG64" i="35" s="1"/>
  <c r="E78" i="35" s="1"/>
  <c r="AG58" i="35"/>
  <c r="AG62" i="35" s="1"/>
  <c r="AG63" i="35" s="1"/>
  <c r="AG64" i="35" s="1"/>
  <c r="C82" i="35" s="1"/>
  <c r="DG58" i="35"/>
  <c r="DG62" i="35" s="1"/>
  <c r="DG63" i="35" s="1"/>
  <c r="DG64" i="35" s="1"/>
  <c r="H85" i="35" s="1"/>
  <c r="BL58" i="35"/>
  <c r="BL62" i="35" s="1"/>
  <c r="BL63" i="35" s="1"/>
  <c r="BL64" i="35" s="1"/>
  <c r="E83" i="35" s="1"/>
  <c r="DD58" i="35"/>
  <c r="DD62" i="35" s="1"/>
  <c r="DD63" i="35" s="1"/>
  <c r="DD64" i="35" s="1"/>
  <c r="H82" i="35" s="1"/>
  <c r="AA58" i="35"/>
  <c r="AA62" i="35" s="1"/>
  <c r="AA63" i="35" s="1"/>
  <c r="AA64" i="35" s="1"/>
  <c r="C76" i="35" s="1"/>
  <c r="BE58" i="35"/>
  <c r="BE62" i="35" s="1"/>
  <c r="BE63" i="35" s="1"/>
  <c r="BE64" i="35" s="1"/>
  <c r="E76" i="35" s="1"/>
  <c r="AB58" i="35"/>
  <c r="AB62" i="35" s="1"/>
  <c r="AB63" i="35" s="1"/>
  <c r="AB64" i="35" s="1"/>
  <c r="BW58" i="35"/>
  <c r="BW62" i="35" s="1"/>
  <c r="BW63" i="35" s="1"/>
  <c r="BW64" i="35" s="1"/>
  <c r="F79" i="35" s="1"/>
  <c r="BH58" i="35"/>
  <c r="BH62" i="35" s="1"/>
  <c r="BH63" i="35" s="1"/>
  <c r="BH64" i="35" s="1"/>
  <c r="E79" i="35" s="1"/>
  <c r="CR58" i="35"/>
  <c r="CR62" i="35" s="1"/>
  <c r="CR63" i="35" s="1"/>
  <c r="CR64" i="35" s="1"/>
  <c r="G85" i="35" s="1"/>
  <c r="AP58" i="35"/>
  <c r="AP62" i="35" s="1"/>
  <c r="AP63" i="35" s="1"/>
  <c r="AP64" i="35" s="1"/>
  <c r="D76" i="35" s="1"/>
  <c r="AQ58" i="35"/>
  <c r="AQ62" i="35" s="1"/>
  <c r="AQ63" i="35" s="1"/>
  <c r="AQ64" i="35" s="1"/>
  <c r="D77" i="35" s="1"/>
  <c r="AC58" i="35"/>
  <c r="AC62" i="35" s="1"/>
  <c r="AC63" i="35" s="1"/>
  <c r="AC64" i="35" s="1"/>
  <c r="C78" i="35" s="1"/>
  <c r="BJ58" i="35"/>
  <c r="BJ62" i="35" s="1"/>
  <c r="BJ63" i="35" s="1"/>
  <c r="BJ64" i="35" s="1"/>
  <c r="E81" i="35" s="1"/>
  <c r="DE58" i="35"/>
  <c r="DE62" i="35" s="1"/>
  <c r="DE63" i="35" s="1"/>
  <c r="DE64" i="35" s="1"/>
  <c r="H83" i="35" s="1"/>
  <c r="CQ58" i="35"/>
  <c r="CQ62" i="35" s="1"/>
  <c r="CQ63" i="35" s="1"/>
  <c r="CQ64" i="35" s="1"/>
  <c r="G84" i="35" s="1"/>
  <c r="AY58" i="35"/>
  <c r="AY62" i="35" s="1"/>
  <c r="AY63" i="35" s="1"/>
  <c r="AY64" i="35" s="1"/>
  <c r="D85" i="35" s="1"/>
  <c r="DH58" i="35"/>
  <c r="DH62" i="35" s="1"/>
  <c r="DH63" i="35" s="1"/>
  <c r="DH64" i="35" s="1"/>
  <c r="BV58" i="35"/>
  <c r="BV62" i="35" s="1"/>
  <c r="BV63" i="35" s="1"/>
  <c r="BV64" i="35" s="1"/>
  <c r="F78" i="35" s="1"/>
  <c r="AI58" i="35"/>
  <c r="AI62" i="35" s="1"/>
  <c r="AI63" i="35" s="1"/>
  <c r="AI64" i="35" s="1"/>
  <c r="C84" i="35" s="1"/>
  <c r="BS58" i="35"/>
  <c r="BS62" i="35" s="1"/>
  <c r="BS63" i="35" s="1"/>
  <c r="BS64" i="35" s="1"/>
  <c r="E90" i="35" s="1"/>
  <c r="CH58" i="35"/>
  <c r="CH62" i="35" s="1"/>
  <c r="CH63" i="35" s="1"/>
  <c r="CH64" i="35" s="1"/>
  <c r="F90" i="35" s="1"/>
  <c r="AZ58" i="35"/>
  <c r="AZ62" i="35" s="1"/>
  <c r="AZ63" i="35" s="1"/>
  <c r="AZ64" i="35" s="1"/>
  <c r="D86" i="35" s="1"/>
  <c r="BK58" i="35"/>
  <c r="BK62" i="35" s="1"/>
  <c r="BK63" i="35" s="1"/>
  <c r="BK64" i="35" s="1"/>
  <c r="E82" i="35" s="1"/>
  <c r="AU58" i="35"/>
  <c r="AU62" i="35" s="1"/>
  <c r="AU63" i="35" s="1"/>
  <c r="AU64" i="35" s="1"/>
  <c r="D81" i="35" s="1"/>
  <c r="AE58" i="35"/>
  <c r="AE62" i="35" s="1"/>
  <c r="AE63" i="35" s="1"/>
  <c r="AE64" i="35" s="1"/>
  <c r="CU58" i="35"/>
  <c r="CU62" i="35" s="1"/>
  <c r="CU63" i="35" s="1"/>
  <c r="CU64" i="35" s="1"/>
  <c r="G88" i="35" s="1"/>
  <c r="DL58" i="35"/>
  <c r="DL62" i="35" s="1"/>
  <c r="DL63" i="35" s="1"/>
  <c r="DL64" i="35" s="1"/>
  <c r="H90" i="35" s="1"/>
  <c r="BA58" i="35"/>
  <c r="BA62" i="35" s="1"/>
  <c r="BA63" i="35" s="1"/>
  <c r="BA64" i="35" s="1"/>
  <c r="D87" i="35" s="1"/>
  <c r="AD58" i="35"/>
  <c r="AD62" i="35" s="1"/>
  <c r="AD63" i="35" s="1"/>
  <c r="AD64" i="35" s="1"/>
  <c r="C79" i="35" s="1"/>
  <c r="AS58" i="35"/>
  <c r="AS62" i="35" s="1"/>
  <c r="AS63" i="35" s="1"/>
  <c r="AS64" i="35" s="1"/>
  <c r="D79" i="35" s="1"/>
  <c r="DC58" i="35"/>
  <c r="DC62" i="35" s="1"/>
  <c r="DC63" i="35" s="1"/>
  <c r="DC64" i="35" s="1"/>
  <c r="H81" i="35" s="1"/>
  <c r="CA58" i="35"/>
  <c r="CA62" i="35" s="1"/>
  <c r="CA63" i="35" s="1"/>
  <c r="CA64" i="35" s="1"/>
  <c r="F83" i="35" s="1"/>
  <c r="BU58" i="35"/>
  <c r="BU62" i="35" s="1"/>
  <c r="BU63" i="35" s="1"/>
  <c r="BU64" i="35" s="1"/>
  <c r="AJ58" i="35"/>
  <c r="AJ62" i="35" s="1"/>
  <c r="AJ63" i="35" s="1"/>
  <c r="AJ64" i="35" s="1"/>
  <c r="C85" i="35" s="1"/>
  <c r="CF58" i="35"/>
  <c r="CF62" i="35" s="1"/>
  <c r="CF63" i="35" s="1"/>
  <c r="CF64" i="35" s="1"/>
  <c r="F88" i="35" s="1"/>
  <c r="BT58" i="35"/>
  <c r="BT62" i="35" s="1"/>
  <c r="BT63" i="35" s="1"/>
  <c r="BT64" i="35" s="1"/>
  <c r="F76" i="35" s="1"/>
  <c r="CZ58" i="35"/>
  <c r="CZ62" i="35" s="1"/>
  <c r="CZ63" i="35" s="1"/>
  <c r="CZ64" i="35" s="1"/>
  <c r="H78" i="35" s="1"/>
  <c r="CB58" i="35"/>
  <c r="CB62" i="35" s="1"/>
  <c r="CB63" i="35" s="1"/>
  <c r="CB64" i="35" s="1"/>
  <c r="F84" i="35" s="1"/>
  <c r="CD58" i="35"/>
  <c r="CD62" i="35" s="1"/>
  <c r="CD63" i="35" s="1"/>
  <c r="CD64" i="35" s="1"/>
  <c r="F86" i="35" s="1"/>
  <c r="DF58" i="35"/>
  <c r="DF62" i="35" s="1"/>
  <c r="DF63" i="35" s="1"/>
  <c r="DF64" i="35" s="1"/>
  <c r="H84" i="35" s="1"/>
  <c r="AV58" i="35"/>
  <c r="AV62" i="35" s="1"/>
  <c r="AV63" i="35" s="1"/>
  <c r="AV64" i="35" s="1"/>
  <c r="D82" i="35" s="1"/>
</calcChain>
</file>

<file path=xl/sharedStrings.xml><?xml version="1.0" encoding="utf-8"?>
<sst xmlns="http://schemas.openxmlformats.org/spreadsheetml/2006/main" count="172" uniqueCount="137">
  <si>
    <t>MPa</t>
  </si>
  <si>
    <t>º</t>
  </si>
  <si>
    <t>Expediente</t>
  </si>
  <si>
    <t>KPa</t>
  </si>
  <si>
    <t>NIVEL 1</t>
  </si>
  <si>
    <t>NIVEL 2</t>
  </si>
  <si>
    <t>NIVEL 3</t>
  </si>
  <si>
    <t>NIVEL 4</t>
  </si>
  <si>
    <t>NIVEL 5</t>
  </si>
  <si>
    <t>Prof. inicial</t>
  </si>
  <si>
    <t>Prof. final</t>
  </si>
  <si>
    <t>m</t>
  </si>
  <si>
    <t>Espesor</t>
  </si>
  <si>
    <t>Nivel freático</t>
  </si>
  <si>
    <t>KN/m3</t>
  </si>
  <si>
    <t>D=</t>
  </si>
  <si>
    <t>No</t>
  </si>
  <si>
    <t>CIMENTACIONES PROFUNDAS EN SUELOS</t>
  </si>
  <si>
    <t>f</t>
  </si>
  <si>
    <r>
      <t>N</t>
    </r>
    <r>
      <rPr>
        <b/>
        <vertAlign val="subscript"/>
        <sz val="10"/>
        <rFont val="Arial"/>
        <family val="2"/>
      </rPr>
      <t>q</t>
    </r>
  </si>
  <si>
    <t>PUNTA</t>
  </si>
  <si>
    <t>FUSTE</t>
  </si>
  <si>
    <t>Tipo de pilote</t>
  </si>
  <si>
    <t>TIPOS DE PILOTE</t>
  </si>
  <si>
    <t>Hincado</t>
  </si>
  <si>
    <t>De madera</t>
  </si>
  <si>
    <t>De acero</t>
  </si>
  <si>
    <r>
      <t>c</t>
    </r>
    <r>
      <rPr>
        <b/>
        <vertAlign val="subscript"/>
        <sz val="10"/>
        <rFont val="Arial"/>
        <family val="2"/>
      </rPr>
      <t>u</t>
    </r>
  </si>
  <si>
    <r>
      <t>N</t>
    </r>
    <r>
      <rPr>
        <b/>
        <vertAlign val="subscript"/>
        <sz val="10"/>
        <rFont val="Arial"/>
        <family val="2"/>
      </rPr>
      <t>p</t>
    </r>
  </si>
  <si>
    <t>Diámetros de cálculo (mm)</t>
  </si>
  <si>
    <t>DIÁMETRO (mm)</t>
  </si>
  <si>
    <t>Prefabricado de hormigón armado</t>
  </si>
  <si>
    <t>Prefabricado de hormigón pretensado</t>
  </si>
  <si>
    <t>Entubado</t>
  </si>
  <si>
    <t>Lodos</t>
  </si>
  <si>
    <t>En seco</t>
  </si>
  <si>
    <t>Tope estructural</t>
  </si>
  <si>
    <t>Coeficiente de empuje horizontal</t>
  </si>
  <si>
    <t>Kf</t>
  </si>
  <si>
    <t>Factor de reducción del rozamiento por fuste</t>
  </si>
  <si>
    <t>f=</t>
  </si>
  <si>
    <t>Perforado (hormigonado in situ)</t>
  </si>
  <si>
    <t>fp=</t>
  </si>
  <si>
    <t>T.E.=</t>
  </si>
  <si>
    <t>¿Considerar aumento del 25% por control adecuado de la integridad?</t>
  </si>
  <si>
    <t>TIPOS DE SUELO</t>
  </si>
  <si>
    <t>Granular</t>
  </si>
  <si>
    <t>Cohesivo</t>
  </si>
  <si>
    <t>ZONA DE INFLUENCIA DE PUNTA</t>
  </si>
  <si>
    <t>cu</t>
  </si>
  <si>
    <t>D</t>
  </si>
  <si>
    <t>L</t>
  </si>
  <si>
    <t>pres ef. Punta</t>
  </si>
  <si>
    <t>Nq</t>
  </si>
  <si>
    <t>qp</t>
  </si>
  <si>
    <t>gran</t>
  </si>
  <si>
    <r>
      <t>t</t>
    </r>
    <r>
      <rPr>
        <sz val="10"/>
        <rFont val="Arial"/>
        <family val="2"/>
      </rPr>
      <t>f</t>
    </r>
  </si>
  <si>
    <t>nivel 1</t>
  </si>
  <si>
    <t>nivel 2</t>
  </si>
  <si>
    <t>nivel 3</t>
  </si>
  <si>
    <t>nivel 4</t>
  </si>
  <si>
    <t>nivel 5</t>
  </si>
  <si>
    <t>cohe</t>
  </si>
  <si>
    <t>Factor de seguridad</t>
  </si>
  <si>
    <t>Resistencias unitarias en el punto medio del estrato</t>
  </si>
  <si>
    <t>Presiones en el muro del estrato</t>
  </si>
  <si>
    <t>Efectivas</t>
  </si>
  <si>
    <t>Totales</t>
  </si>
  <si>
    <r>
      <t>q</t>
    </r>
    <r>
      <rPr>
        <b/>
        <vertAlign val="subscript"/>
        <sz val="10"/>
        <rFont val="Arial"/>
        <family val="2"/>
      </rPr>
      <t>p</t>
    </r>
  </si>
  <si>
    <r>
      <t>t</t>
    </r>
    <r>
      <rPr>
        <b/>
        <vertAlign val="subscript"/>
        <sz val="10"/>
        <rFont val="Arial"/>
        <family val="2"/>
      </rPr>
      <t>f</t>
    </r>
  </si>
  <si>
    <r>
      <t>g</t>
    </r>
    <r>
      <rPr>
        <b/>
        <vertAlign val="subscript"/>
        <sz val="10"/>
        <rFont val="Arial"/>
        <family val="2"/>
      </rPr>
      <t>ap</t>
    </r>
  </si>
  <si>
    <r>
      <t>g</t>
    </r>
    <r>
      <rPr>
        <b/>
        <vertAlign val="subscript"/>
        <sz val="10"/>
        <rFont val="Arial"/>
        <family val="2"/>
      </rPr>
      <t>sat</t>
    </r>
  </si>
  <si>
    <r>
      <t>s</t>
    </r>
    <r>
      <rPr>
        <b/>
        <sz val="10"/>
        <rFont val="Arial"/>
        <family val="2"/>
      </rPr>
      <t>'</t>
    </r>
    <r>
      <rPr>
        <b/>
        <vertAlign val="subscript"/>
        <sz val="10"/>
        <rFont val="Arial"/>
        <family val="2"/>
      </rPr>
      <t xml:space="preserve">v0
</t>
    </r>
    <r>
      <rPr>
        <b/>
        <sz val="8"/>
        <rFont val="Arial"/>
        <family val="2"/>
      </rPr>
      <t>(media)</t>
    </r>
  </si>
  <si>
    <t>Long.</t>
  </si>
  <si>
    <t>(m)</t>
  </si>
  <si>
    <t>Fin zona activa inf</t>
  </si>
  <si>
    <t>Inicio zona pasiva sup</t>
  </si>
  <si>
    <t>Zona de influencia en cada estrato</t>
  </si>
  <si>
    <r>
      <t>g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=</t>
    </r>
  </si>
  <si>
    <t>CÁLCULO DE LA CARGA DE HUNDIMIENTO. SOLUCIÓN ANALÍTICA</t>
  </si>
  <si>
    <t>¿Existe nivel arcilloso de menor resistencia bajo la punta?</t>
  </si>
  <si>
    <r>
      <t>c</t>
    </r>
    <r>
      <rPr>
        <vertAlign val="subscript"/>
        <sz val="10"/>
        <rFont val="Arial"/>
        <family val="2"/>
      </rPr>
      <t>u</t>
    </r>
    <r>
      <rPr>
        <sz val="10"/>
        <rFont val="Arial"/>
        <family val="2"/>
      </rPr>
      <t>=</t>
    </r>
  </si>
  <si>
    <t>kPa</t>
  </si>
  <si>
    <t>Z=</t>
  </si>
  <si>
    <t>Limitación qp cohesivo (kPa)</t>
  </si>
  <si>
    <t>Limitación qp cohesivo (MPa)</t>
  </si>
  <si>
    <t>APLICABILIDAD</t>
  </si>
  <si>
    <t>- Suelos granulares</t>
  </si>
  <si>
    <t>- Suelos cohesivos a largo plazo</t>
  </si>
  <si>
    <t>RESISTENCIAS UNITARIAS</t>
  </si>
  <si>
    <t>GRANULAR</t>
  </si>
  <si>
    <t>COHESIVO</t>
  </si>
  <si>
    <t>- Cimentaciones profundas (L&gt;8D)</t>
  </si>
  <si>
    <t>Incrementos</t>
  </si>
  <si>
    <t>Longitudes de pilote</t>
  </si>
  <si>
    <t>Mínima</t>
  </si>
  <si>
    <t>Máxima</t>
  </si>
  <si>
    <t>L=</t>
  </si>
  <si>
    <t>DESCRIPCIÓN DE LOS PILOTES</t>
  </si>
  <si>
    <t>Situación persistente</t>
  </si>
  <si>
    <t>DESCRIPCIÓN DEL TERRENO DE CIMENTACIÓN</t>
  </si>
  <si>
    <t>UNIDAD</t>
  </si>
  <si>
    <t>GEOTÉC.</t>
  </si>
  <si>
    <t>Profundidad del techo del estrato</t>
  </si>
  <si>
    <t>Resistencia al corte sin drenaje</t>
  </si>
  <si>
    <t>SITUACIÓN DE DIMENSIONADO</t>
  </si>
  <si>
    <t>FORMULACIÓN BÁSICA</t>
  </si>
  <si>
    <t>Resistencia por punta</t>
  </si>
  <si>
    <t>Resistencia por fuste</t>
  </si>
  <si>
    <r>
      <t>K</t>
    </r>
    <r>
      <rPr>
        <vertAlign val="subscript"/>
        <sz val="9"/>
        <rFont val="Arial"/>
        <family val="2"/>
      </rPr>
      <t>f</t>
    </r>
    <r>
      <rPr>
        <sz val="9"/>
        <rFont val="Arial"/>
        <family val="2"/>
      </rPr>
      <t>=</t>
    </r>
  </si>
  <si>
    <t>ESTIMACIÓN DE ASIENTOS</t>
  </si>
  <si>
    <t>MÉTODO SIMPLIFICADO</t>
  </si>
  <si>
    <t>Asiento (cm)</t>
  </si>
  <si>
    <t>- El asiento de un pilote vertical aislado sometido a una carga vertical, de servicio, en su cabeza igual a la carga de hundimiento es, aproximadamente, el 1% de su diámetro, más el acortamiento elástico del pilote</t>
  </si>
  <si>
    <t>FORMULACIÓN APROXIMADA</t>
  </si>
  <si>
    <t>- Asiento del pilote individual aislado, considerando el acortamiento elástico</t>
  </si>
  <si>
    <t>- Aplicar en fase de proyecto</t>
  </si>
  <si>
    <t>- Dependiente del módulo de elasticidad del pilote (E) y su carga de servicio (P)</t>
  </si>
  <si>
    <t>Peticionario</t>
  </si>
  <si>
    <t>Trabajo</t>
  </si>
  <si>
    <t>Barrenados sin control de parámetros</t>
  </si>
  <si>
    <t>Barrenados con control de parámetros</t>
  </si>
  <si>
    <t>Z.P. (m)</t>
  </si>
  <si>
    <t>Z.A. (m)</t>
  </si>
  <si>
    <t>Rpk (MN)</t>
  </si>
  <si>
    <t>Rp (MPa)</t>
  </si>
  <si>
    <t>Rfk (KN)</t>
  </si>
  <si>
    <t>Rfk (MN)</t>
  </si>
  <si>
    <t>Rpd (kN)</t>
  </si>
  <si>
    <t>Rfd (kN)</t>
  </si>
  <si>
    <t>T.E. (kN)</t>
  </si>
  <si>
    <t>CARGA ADMISIBLE</t>
  </si>
  <si>
    <t>CARGA ADMISIBLE (kN)</t>
  </si>
  <si>
    <t>Np</t>
  </si>
  <si>
    <t>UG-01</t>
  </si>
  <si>
    <t>UG-02</t>
  </si>
  <si>
    <t>UG-03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</si>
</sst>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5" formatCode="0.0"/>
    <numFmt numFmtId="181" formatCode="0.000"/>
  </numFmts>
  <fonts count="20" x14ac:knownFonts="1">
    <font>
      <sz val="10"/>
      <name val="Arial"/>
    </font>
    <font>
      <sz val="10"/>
      <name val="Arial"/>
    </font>
    <font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Symbol"/>
      <family val="1"/>
      <charset val="2"/>
    </font>
    <font>
      <i/>
      <sz val="10"/>
      <name val="Arial"/>
      <family val="2"/>
    </font>
    <font>
      <vertAlign val="subscript"/>
      <sz val="10"/>
      <name val="Arial"/>
      <family val="2"/>
    </font>
    <font>
      <sz val="10"/>
      <color indexed="18"/>
      <name val="Arial"/>
      <family val="2"/>
    </font>
    <font>
      <b/>
      <vertAlign val="subscript"/>
      <sz val="10"/>
      <name val="Arial"/>
      <family val="2"/>
    </font>
    <font>
      <b/>
      <sz val="12"/>
      <name val="Arial"/>
      <family val="2"/>
    </font>
    <font>
      <b/>
      <sz val="10"/>
      <name val="Symbol"/>
      <family val="1"/>
      <charset val="2"/>
    </font>
    <font>
      <sz val="9"/>
      <name val="Arial"/>
      <family val="2"/>
    </font>
    <font>
      <sz val="10"/>
      <color indexed="30"/>
      <name val="Arial"/>
      <family val="2"/>
    </font>
    <font>
      <u/>
      <sz val="10"/>
      <name val="Arial"/>
      <family val="2"/>
    </font>
    <font>
      <vertAlign val="subscript"/>
      <sz val="9"/>
      <name val="Arial"/>
      <family val="2"/>
    </font>
    <font>
      <sz val="10"/>
      <color indexed="56"/>
      <name val="Arial"/>
      <family val="2"/>
    </font>
    <font>
      <sz val="10"/>
      <color indexed="9"/>
      <name val="Arial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0" xfId="0" applyBorder="1" applyAlignment="1">
      <alignment horizontal="centerContinuous"/>
    </xf>
    <xf numFmtId="0" fontId="0" fillId="0" borderId="7" xfId="0" applyBorder="1"/>
    <xf numFmtId="0" fontId="0" fillId="0" borderId="8" xfId="0" applyBorder="1"/>
    <xf numFmtId="0" fontId="6" fillId="0" borderId="0" xfId="0" applyFont="1" applyBorder="1"/>
    <xf numFmtId="0" fontId="6" fillId="0" borderId="2" xfId="0" applyFont="1" applyBorder="1" applyAlignment="1">
      <alignment horizontal="centerContinuous"/>
    </xf>
    <xf numFmtId="0" fontId="0" fillId="0" borderId="2" xfId="0" applyBorder="1" applyAlignment="1">
      <alignment horizontal="centerContinuous"/>
    </xf>
    <xf numFmtId="0" fontId="0" fillId="0" borderId="3" xfId="0" applyBorder="1" applyAlignment="1">
      <alignment horizontal="centerContinuous"/>
    </xf>
    <xf numFmtId="0" fontId="6" fillId="0" borderId="1" xfId="0" applyFont="1" applyBorder="1" applyAlignment="1">
      <alignment horizontal="centerContinuous"/>
    </xf>
    <xf numFmtId="0" fontId="6" fillId="2" borderId="9" xfId="0" applyFont="1" applyFill="1" applyBorder="1" applyAlignment="1">
      <alignment horizontal="centerContinuous"/>
    </xf>
    <xf numFmtId="0" fontId="6" fillId="2" borderId="10" xfId="0" applyFont="1" applyFill="1" applyBorder="1" applyAlignment="1">
      <alignment horizontal="centerContinuous"/>
    </xf>
    <xf numFmtId="0" fontId="0" fillId="0" borderId="7" xfId="0" applyBorder="1" applyAlignment="1">
      <alignment horizontal="centerContinuous"/>
    </xf>
    <xf numFmtId="0" fontId="0" fillId="0" borderId="0" xfId="0" applyFill="1" applyBorder="1"/>
    <xf numFmtId="0" fontId="0" fillId="0" borderId="0" xfId="0" applyFill="1" applyBorder="1" applyAlignment="1"/>
    <xf numFmtId="0" fontId="0" fillId="0" borderId="11" xfId="0" applyBorder="1" applyAlignment="1">
      <alignment horizontal="center"/>
    </xf>
    <xf numFmtId="175" fontId="0" fillId="0" borderId="11" xfId="0" applyNumberFormat="1" applyBorder="1" applyAlignment="1">
      <alignment horizontal="center"/>
    </xf>
    <xf numFmtId="175" fontId="0" fillId="0" borderId="0" xfId="0" applyNumberFormat="1"/>
    <xf numFmtId="0" fontId="12" fillId="0" borderId="4" xfId="0" applyFont="1" applyBorder="1" applyAlignment="1">
      <alignment horizontal="centerContinuous"/>
    </xf>
    <xf numFmtId="0" fontId="0" fillId="0" borderId="0" xfId="0" applyAlignment="1"/>
    <xf numFmtId="0" fontId="0" fillId="0" borderId="0" xfId="0" applyBorder="1" applyAlignment="1"/>
    <xf numFmtId="175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75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0" xfId="0" applyNumberFormat="1"/>
    <xf numFmtId="2" fontId="0" fillId="0" borderId="0" xfId="0" applyNumberFormat="1" applyBorder="1"/>
    <xf numFmtId="0" fontId="1" fillId="0" borderId="0" xfId="0" applyFont="1" applyBorder="1"/>
    <xf numFmtId="175" fontId="0" fillId="0" borderId="0" xfId="0" applyNumberFormat="1" applyBorder="1"/>
    <xf numFmtId="0" fontId="0" fillId="2" borderId="10" xfId="0" applyFill="1" applyBorder="1" applyAlignment="1">
      <alignment horizontal="centerContinuous"/>
    </xf>
    <xf numFmtId="0" fontId="0" fillId="2" borderId="17" xfId="0" applyFill="1" applyBorder="1" applyAlignment="1">
      <alignment horizontal="centerContinuous"/>
    </xf>
    <xf numFmtId="0" fontId="4" fillId="3" borderId="0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4" fillId="3" borderId="19" xfId="0" applyFont="1" applyFill="1" applyBorder="1" applyAlignment="1">
      <alignment horizontal="center" wrapText="1"/>
    </xf>
    <xf numFmtId="175" fontId="0" fillId="0" borderId="15" xfId="0" applyNumberFormat="1" applyBorder="1" applyAlignment="1">
      <alignment horizontal="center"/>
    </xf>
    <xf numFmtId="0" fontId="4" fillId="3" borderId="20" xfId="0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181" fontId="8" fillId="0" borderId="0" xfId="0" applyNumberFormat="1" applyFont="1"/>
    <xf numFmtId="0" fontId="6" fillId="3" borderId="22" xfId="0" applyFont="1" applyFill="1" applyBorder="1" applyAlignment="1">
      <alignment horizontal="center" wrapText="1"/>
    </xf>
    <xf numFmtId="1" fontId="0" fillId="0" borderId="0" xfId="0" applyNumberFormat="1" applyBorder="1"/>
    <xf numFmtId="1" fontId="0" fillId="0" borderId="0" xfId="0" applyNumberFormat="1"/>
    <xf numFmtId="175" fontId="0" fillId="0" borderId="0" xfId="0" applyNumberForma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4" fillId="3" borderId="9" xfId="0" applyFont="1" applyFill="1" applyBorder="1" applyAlignment="1">
      <alignment horizontal="centerContinuous" wrapText="1"/>
    </xf>
    <xf numFmtId="0" fontId="4" fillId="3" borderId="10" xfId="0" applyFont="1" applyFill="1" applyBorder="1" applyAlignment="1">
      <alignment horizontal="centerContinuous" wrapText="1"/>
    </xf>
    <xf numFmtId="0" fontId="6" fillId="3" borderId="2" xfId="0" applyFont="1" applyFill="1" applyBorder="1" applyAlignment="1">
      <alignment horizontal="centerContinuous"/>
    </xf>
    <xf numFmtId="0" fontId="6" fillId="3" borderId="3" xfId="0" applyFont="1" applyFill="1" applyBorder="1" applyAlignment="1">
      <alignment horizontal="centerContinuous"/>
    </xf>
    <xf numFmtId="1" fontId="6" fillId="3" borderId="0" xfId="0" applyNumberFormat="1" applyFont="1" applyFill="1" applyBorder="1" applyAlignment="1">
      <alignment horizontal="center"/>
    </xf>
    <xf numFmtId="1" fontId="6" fillId="3" borderId="7" xfId="0" applyNumberFormat="1" applyFont="1" applyFill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0" fillId="3" borderId="17" xfId="0" applyFill="1" applyBorder="1" applyAlignment="1">
      <alignment horizontal="centerContinuous"/>
    </xf>
    <xf numFmtId="1" fontId="6" fillId="3" borderId="23" xfId="0" applyNumberFormat="1" applyFont="1" applyFill="1" applyBorder="1" applyAlignment="1">
      <alignment horizontal="center"/>
    </xf>
    <xf numFmtId="1" fontId="6" fillId="3" borderId="24" xfId="0" applyNumberFormat="1" applyFont="1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6" fillId="3" borderId="28" xfId="0" applyFont="1" applyFill="1" applyBorder="1" applyAlignment="1">
      <alignment horizontal="center" wrapText="1"/>
    </xf>
    <xf numFmtId="0" fontId="7" fillId="0" borderId="0" xfId="0" applyFont="1"/>
    <xf numFmtId="0" fontId="5" fillId="0" borderId="0" xfId="0" applyFont="1"/>
    <xf numFmtId="181" fontId="0" fillId="0" borderId="0" xfId="0" applyNumberFormat="1"/>
    <xf numFmtId="0" fontId="13" fillId="3" borderId="19" xfId="0" applyFont="1" applyFill="1" applyBorder="1" applyAlignment="1">
      <alignment horizontal="center" wrapText="1"/>
    </xf>
    <xf numFmtId="175" fontId="1" fillId="0" borderId="18" xfId="0" applyNumberFormat="1" applyFont="1" applyBorder="1" applyAlignment="1">
      <alignment horizontal="center"/>
    </xf>
    <xf numFmtId="175" fontId="1" fillId="0" borderId="11" xfId="0" applyNumberFormat="1" applyFont="1" applyBorder="1" applyAlignment="1">
      <alignment horizontal="center"/>
    </xf>
    <xf numFmtId="0" fontId="6" fillId="3" borderId="29" xfId="0" applyFont="1" applyFill="1" applyBorder="1" applyAlignment="1">
      <alignment horizontal="center" wrapText="1"/>
    </xf>
    <xf numFmtId="0" fontId="4" fillId="3" borderId="28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 wrapText="1"/>
    </xf>
    <xf numFmtId="0" fontId="4" fillId="3" borderId="30" xfId="0" applyFont="1" applyFill="1" applyBorder="1" applyAlignment="1">
      <alignment horizontal="center" wrapText="1"/>
    </xf>
    <xf numFmtId="0" fontId="4" fillId="3" borderId="31" xfId="0" applyFont="1" applyFill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0" fontId="6" fillId="3" borderId="29" xfId="0" applyFont="1" applyFill="1" applyBorder="1" applyAlignment="1">
      <alignment horizontal="centerContinuous"/>
    </xf>
    <xf numFmtId="0" fontId="6" fillId="3" borderId="32" xfId="0" applyFont="1" applyFill="1" applyBorder="1" applyAlignment="1">
      <alignment horizontal="centerContinuous"/>
    </xf>
    <xf numFmtId="0" fontId="6" fillId="3" borderId="33" xfId="0" applyFont="1" applyFill="1" applyBorder="1" applyAlignment="1">
      <alignment horizontal="centerContinuous"/>
    </xf>
    <xf numFmtId="0" fontId="0" fillId="0" borderId="6" xfId="0" applyBorder="1" applyAlignment="1">
      <alignment horizontal="center"/>
    </xf>
    <xf numFmtId="175" fontId="0" fillId="0" borderId="6" xfId="0" applyNumberFormat="1" applyBorder="1" applyAlignment="1">
      <alignment horizontal="center"/>
    </xf>
    <xf numFmtId="175" fontId="10" fillId="0" borderId="6" xfId="0" applyNumberFormat="1" applyFont="1" applyBorder="1" applyAlignment="1">
      <alignment horizontal="center"/>
    </xf>
    <xf numFmtId="2" fontId="10" fillId="0" borderId="6" xfId="0" applyNumberFormat="1" applyFont="1" applyBorder="1" applyAlignment="1">
      <alignment horizontal="center"/>
    </xf>
    <xf numFmtId="0" fontId="13" fillId="3" borderId="34" xfId="0" applyFont="1" applyFill="1" applyBorder="1" applyAlignment="1">
      <alignment horizontal="center" wrapText="1"/>
    </xf>
    <xf numFmtId="0" fontId="4" fillId="3" borderId="35" xfId="0" applyFont="1" applyFill="1" applyBorder="1" applyAlignment="1">
      <alignment horizontal="center" wrapText="1"/>
    </xf>
    <xf numFmtId="181" fontId="8" fillId="0" borderId="0" xfId="0" applyNumberFormat="1" applyFont="1" applyBorder="1"/>
    <xf numFmtId="0" fontId="5" fillId="0" borderId="0" xfId="0" applyFont="1" applyBorder="1"/>
    <xf numFmtId="175" fontId="5" fillId="0" borderId="0" xfId="0" applyNumberFormat="1" applyFont="1" applyBorder="1"/>
    <xf numFmtId="175" fontId="5" fillId="0" borderId="15" xfId="0" applyNumberFormat="1" applyFont="1" applyBorder="1" applyAlignment="1">
      <alignment horizontal="center"/>
    </xf>
    <xf numFmtId="0" fontId="5" fillId="0" borderId="0" xfId="0" quotePrefix="1" applyFont="1" applyBorder="1"/>
    <xf numFmtId="0" fontId="6" fillId="0" borderId="3" xfId="0" applyFont="1" applyBorder="1" applyAlignment="1">
      <alignment horizontal="centerContinuous"/>
    </xf>
    <xf numFmtId="0" fontId="14" fillId="0" borderId="0" xfId="0" applyFont="1" applyBorder="1"/>
    <xf numFmtId="0" fontId="0" fillId="0" borderId="36" xfId="0" applyBorder="1"/>
    <xf numFmtId="0" fontId="0" fillId="0" borderId="37" xfId="0" applyBorder="1"/>
    <xf numFmtId="0" fontId="0" fillId="0" borderId="23" xfId="0" applyBorder="1"/>
    <xf numFmtId="0" fontId="0" fillId="0" borderId="24" xfId="0" applyBorder="1"/>
    <xf numFmtId="0" fontId="0" fillId="0" borderId="38" xfId="0" applyBorder="1"/>
    <xf numFmtId="0" fontId="0" fillId="0" borderId="29" xfId="0" applyBorder="1"/>
    <xf numFmtId="0" fontId="0" fillId="0" borderId="32" xfId="0" applyBorder="1"/>
    <xf numFmtId="0" fontId="0" fillId="0" borderId="33" xfId="0" applyBorder="1"/>
    <xf numFmtId="0" fontId="0" fillId="0" borderId="39" xfId="0" applyBorder="1"/>
    <xf numFmtId="0" fontId="14" fillId="0" borderId="20" xfId="0" applyFont="1" applyBorder="1"/>
    <xf numFmtId="0" fontId="0" fillId="0" borderId="28" xfId="0" applyBorder="1"/>
    <xf numFmtId="0" fontId="14" fillId="0" borderId="28" xfId="0" applyFont="1" applyBorder="1"/>
    <xf numFmtId="0" fontId="0" fillId="3" borderId="25" xfId="0" applyFill="1" applyBorder="1" applyAlignment="1">
      <alignment horizontal="centerContinuous"/>
    </xf>
    <xf numFmtId="0" fontId="5" fillId="0" borderId="4" xfId="0" applyFont="1" applyBorder="1"/>
    <xf numFmtId="0" fontId="15" fillId="0" borderId="0" xfId="0" applyFont="1" applyBorder="1"/>
    <xf numFmtId="1" fontId="15" fillId="0" borderId="0" xfId="0" applyNumberFormat="1" applyFont="1" applyBorder="1"/>
    <xf numFmtId="1" fontId="15" fillId="0" borderId="0" xfId="0" applyNumberFormat="1" applyFont="1" applyBorder="1" applyAlignment="1"/>
    <xf numFmtId="1" fontId="15" fillId="0" borderId="0" xfId="0" applyNumberFormat="1" applyFont="1" applyFill="1" applyBorder="1" applyAlignment="1"/>
    <xf numFmtId="0" fontId="6" fillId="0" borderId="4" xfId="0" applyFont="1" applyBorder="1" applyAlignment="1"/>
    <xf numFmtId="1" fontId="15" fillId="0" borderId="7" xfId="0" applyNumberFormat="1" applyFont="1" applyFill="1" applyBorder="1" applyAlignment="1"/>
    <xf numFmtId="0" fontId="6" fillId="0" borderId="4" xfId="0" applyFont="1" applyBorder="1"/>
    <xf numFmtId="0" fontId="0" fillId="0" borderId="4" xfId="0" applyFill="1" applyBorder="1"/>
    <xf numFmtId="0" fontId="14" fillId="0" borderId="0" xfId="0" applyFont="1" applyFill="1" applyBorder="1"/>
    <xf numFmtId="0" fontId="0" fillId="0" borderId="8" xfId="0" applyBorder="1" applyAlignment="1">
      <alignment horizontal="centerContinuous"/>
    </xf>
    <xf numFmtId="0" fontId="6" fillId="0" borderId="4" xfId="0" applyFont="1" applyFill="1" applyBorder="1"/>
    <xf numFmtId="0" fontId="7" fillId="0" borderId="4" xfId="0" applyFont="1" applyFill="1" applyBorder="1"/>
    <xf numFmtId="0" fontId="7" fillId="0" borderId="5" xfId="0" applyFont="1" applyFill="1" applyBorder="1"/>
    <xf numFmtId="175" fontId="5" fillId="0" borderId="6" xfId="0" applyNumberFormat="1" applyFont="1" applyBorder="1"/>
    <xf numFmtId="0" fontId="6" fillId="3" borderId="40" xfId="0" applyFont="1" applyFill="1" applyBorder="1" applyAlignment="1">
      <alignment horizontal="centerContinuous"/>
    </xf>
    <xf numFmtId="0" fontId="6" fillId="3" borderId="18" xfId="0" applyFont="1" applyFill="1" applyBorder="1" applyAlignment="1">
      <alignment horizontal="centerContinuous"/>
    </xf>
    <xf numFmtId="0" fontId="6" fillId="0" borderId="0" xfId="0" applyFont="1" applyBorder="1" applyAlignment="1">
      <alignment horizontal="centerContinuous"/>
    </xf>
    <xf numFmtId="0" fontId="16" fillId="0" borderId="0" xfId="0" applyFont="1" applyBorder="1"/>
    <xf numFmtId="0" fontId="6" fillId="0" borderId="4" xfId="0" applyFont="1" applyBorder="1" applyAlignment="1">
      <alignment horizontal="centerContinuous"/>
    </xf>
    <xf numFmtId="1" fontId="6" fillId="3" borderId="38" xfId="0" applyNumberFormat="1" applyFont="1" applyFill="1" applyBorder="1" applyAlignment="1">
      <alignment horizontal="center"/>
    </xf>
    <xf numFmtId="0" fontId="8" fillId="0" borderId="0" xfId="0" applyFont="1" applyBorder="1" applyAlignment="1">
      <alignment horizontal="right"/>
    </xf>
    <xf numFmtId="0" fontId="0" fillId="0" borderId="10" xfId="0" applyBorder="1"/>
    <xf numFmtId="0" fontId="0" fillId="0" borderId="10" xfId="0" applyBorder="1" applyAlignment="1">
      <alignment horizontal="center"/>
    </xf>
    <xf numFmtId="175" fontId="0" fillId="0" borderId="10" xfId="0" applyNumberFormat="1" applyBorder="1" applyAlignment="1">
      <alignment horizontal="center"/>
    </xf>
    <xf numFmtId="175" fontId="10" fillId="0" borderId="10" xfId="0" applyNumberFormat="1" applyFont="1" applyBorder="1" applyAlignment="1">
      <alignment horizontal="center"/>
    </xf>
    <xf numFmtId="2" fontId="10" fillId="0" borderId="10" xfId="0" applyNumberFormat="1" applyFont="1" applyBorder="1" applyAlignment="1">
      <alignment horizontal="center"/>
    </xf>
    <xf numFmtId="0" fontId="0" fillId="0" borderId="10" xfId="0" applyBorder="1" applyAlignment="1">
      <alignment horizontal="centerContinuous"/>
    </xf>
    <xf numFmtId="0" fontId="7" fillId="0" borderId="10" xfId="0" applyFont="1" applyFill="1" applyBorder="1"/>
    <xf numFmtId="175" fontId="5" fillId="0" borderId="10" xfId="0" applyNumberFormat="1" applyFont="1" applyBorder="1"/>
    <xf numFmtId="0" fontId="14" fillId="0" borderId="0" xfId="0" applyFont="1" applyBorder="1" applyAlignment="1"/>
    <xf numFmtId="0" fontId="14" fillId="0" borderId="0" xfId="0" applyFont="1" applyFill="1" applyBorder="1" applyAlignment="1"/>
    <xf numFmtId="0" fontId="6" fillId="3" borderId="1" xfId="0" applyFont="1" applyFill="1" applyBorder="1" applyAlignment="1">
      <alignment horizontal="centerContinuous"/>
    </xf>
    <xf numFmtId="1" fontId="6" fillId="3" borderId="41" xfId="0" applyNumberFormat="1" applyFont="1" applyFill="1" applyBorder="1" applyAlignment="1">
      <alignment horizontal="center"/>
    </xf>
    <xf numFmtId="1" fontId="6" fillId="3" borderId="42" xfId="0" applyNumberFormat="1" applyFont="1" applyFill="1" applyBorder="1" applyAlignment="1">
      <alignment horizontal="center"/>
    </xf>
    <xf numFmtId="175" fontId="0" fillId="0" borderId="16" xfId="0" applyNumberFormat="1" applyBorder="1" applyAlignment="1">
      <alignment horizontal="center"/>
    </xf>
    <xf numFmtId="0" fontId="6" fillId="0" borderId="43" xfId="0" applyFont="1" applyBorder="1" applyAlignment="1">
      <alignment horizontal="centerContinuous"/>
    </xf>
    <xf numFmtId="0" fontId="0" fillId="0" borderId="44" xfId="0" applyBorder="1"/>
    <xf numFmtId="175" fontId="14" fillId="0" borderId="0" xfId="0" applyNumberFormat="1" applyFont="1" applyBorder="1" applyAlignment="1">
      <alignment horizontal="right"/>
    </xf>
    <xf numFmtId="0" fontId="5" fillId="4" borderId="11" xfId="0" applyFont="1" applyFill="1" applyBorder="1" applyAlignment="1" applyProtection="1">
      <alignment horizontal="center"/>
      <protection locked="0"/>
    </xf>
    <xf numFmtId="0" fontId="5" fillId="4" borderId="15" xfId="0" applyFont="1" applyFill="1" applyBorder="1" applyAlignment="1" applyProtection="1">
      <alignment horizontal="center"/>
      <protection locked="0"/>
    </xf>
    <xf numFmtId="0" fontId="5" fillId="4" borderId="0" xfId="0" applyFont="1" applyFill="1" applyBorder="1" applyProtection="1">
      <protection locked="0"/>
    </xf>
    <xf numFmtId="1" fontId="5" fillId="4" borderId="0" xfId="0" applyNumberFormat="1" applyFont="1" applyFill="1" applyBorder="1" applyProtection="1">
      <protection locked="0"/>
    </xf>
    <xf numFmtId="1" fontId="5" fillId="4" borderId="0" xfId="0" applyNumberFormat="1" applyFont="1" applyFill="1" applyBorder="1" applyAlignment="1" applyProtection="1">
      <protection locked="0"/>
    </xf>
    <xf numFmtId="1" fontId="5" fillId="4" borderId="7" xfId="0" applyNumberFormat="1" applyFont="1" applyFill="1" applyBorder="1" applyAlignment="1" applyProtection="1">
      <protection locked="0"/>
    </xf>
    <xf numFmtId="175" fontId="5" fillId="4" borderId="45" xfId="0" applyNumberFormat="1" applyFont="1" applyFill="1" applyBorder="1" applyAlignment="1" applyProtection="1">
      <alignment horizontal="center"/>
      <protection locked="0"/>
    </xf>
    <xf numFmtId="0" fontId="5" fillId="4" borderId="40" xfId="0" applyFont="1" applyFill="1" applyBorder="1" applyAlignment="1" applyProtection="1">
      <alignment horizontal="center"/>
      <protection locked="0"/>
    </xf>
    <xf numFmtId="175" fontId="5" fillId="4" borderId="11" xfId="0" applyNumberFormat="1" applyFont="1" applyFill="1" applyBorder="1" applyAlignment="1" applyProtection="1">
      <alignment horizontal="center"/>
      <protection locked="0"/>
    </xf>
    <xf numFmtId="0" fontId="5" fillId="4" borderId="46" xfId="0" applyFont="1" applyFill="1" applyBorder="1" applyAlignment="1" applyProtection="1">
      <alignment horizontal="center"/>
      <protection locked="0"/>
    </xf>
    <xf numFmtId="175" fontId="5" fillId="4" borderId="15" xfId="0" applyNumberFormat="1" applyFont="1" applyFill="1" applyBorder="1" applyAlignment="1" applyProtection="1">
      <alignment horizontal="center"/>
      <protection locked="0"/>
    </xf>
    <xf numFmtId="0" fontId="5" fillId="4" borderId="4" xfId="0" applyFont="1" applyFill="1" applyBorder="1" applyProtection="1">
      <protection locked="0"/>
    </xf>
    <xf numFmtId="0" fontId="5" fillId="4" borderId="7" xfId="0" applyFont="1" applyFill="1" applyBorder="1" applyProtection="1">
      <protection locked="0"/>
    </xf>
    <xf numFmtId="0" fontId="18" fillId="0" borderId="0" xfId="0" applyFont="1" applyBorder="1" applyProtection="1">
      <protection locked="0"/>
    </xf>
    <xf numFmtId="175" fontId="0" fillId="0" borderId="27" xfId="0" applyNumberFormat="1" applyFill="1" applyBorder="1" applyAlignment="1">
      <alignment horizontal="center"/>
    </xf>
    <xf numFmtId="175" fontId="0" fillId="0" borderId="13" xfId="0" applyNumberFormat="1" applyBorder="1" applyAlignment="1">
      <alignment horizontal="center"/>
    </xf>
    <xf numFmtId="0" fontId="0" fillId="0" borderId="0" xfId="0" applyAlignment="1">
      <alignment vertical="distributed" textRotation="90"/>
    </xf>
    <xf numFmtId="0" fontId="0" fillId="0" borderId="0" xfId="0" applyAlignment="1">
      <alignment horizontal="right"/>
    </xf>
    <xf numFmtId="175" fontId="19" fillId="0" borderId="6" xfId="0" applyNumberFormat="1" applyFont="1" applyBorder="1" applyAlignment="1">
      <alignment horizontal="center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0" xfId="0" applyFont="1" applyFill="1" applyBorder="1" applyAlignment="1" applyProtection="1">
      <alignment horizontal="left"/>
      <protection locked="0"/>
    </xf>
    <xf numFmtId="0" fontId="3" fillId="3" borderId="1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3" fillId="3" borderId="7" xfId="0" applyFont="1" applyFill="1" applyBorder="1" applyAlignment="1">
      <alignment horizontal="center" wrapText="1"/>
    </xf>
    <xf numFmtId="0" fontId="5" fillId="4" borderId="4" xfId="0" applyFont="1" applyFill="1" applyBorder="1" applyAlignment="1" applyProtection="1">
      <alignment horizontal="left"/>
      <protection locked="0"/>
    </xf>
    <xf numFmtId="0" fontId="5" fillId="4" borderId="0" xfId="0" applyFont="1" applyFill="1" applyBorder="1" applyAlignment="1" applyProtection="1">
      <alignment horizontal="left"/>
      <protection locked="0"/>
    </xf>
    <xf numFmtId="0" fontId="5" fillId="0" borderId="4" xfId="0" quotePrefix="1" applyFont="1" applyBorder="1" applyAlignment="1">
      <alignment horizontal="left" vertical="top" wrapText="1"/>
    </xf>
    <xf numFmtId="0" fontId="5" fillId="0" borderId="0" xfId="0" quotePrefix="1" applyFont="1" applyBorder="1" applyAlignment="1">
      <alignment horizontal="left" vertical="top" wrapText="1"/>
    </xf>
    <xf numFmtId="0" fontId="5" fillId="0" borderId="7" xfId="0" quotePrefix="1" applyFont="1" applyBorder="1" applyAlignment="1">
      <alignment horizontal="left" vertical="top" wrapText="1"/>
    </xf>
    <xf numFmtId="0" fontId="0" fillId="0" borderId="0" xfId="0" applyAlignment="1">
      <alignment horizontal="center" textRotation="90" wrapText="1"/>
    </xf>
    <xf numFmtId="0" fontId="0" fillId="0" borderId="0" xfId="0" applyAlignment="1">
      <alignment horizontal="center" vertical="distributed" textRotation="90"/>
    </xf>
    <xf numFmtId="2" fontId="14" fillId="4" borderId="4" xfId="0" applyNumberFormat="1" applyFont="1" applyFill="1" applyBorder="1" applyAlignment="1" applyProtection="1">
      <alignment horizontal="left"/>
      <protection locked="0"/>
    </xf>
    <xf numFmtId="2" fontId="14" fillId="4" borderId="0" xfId="0" applyNumberFormat="1" applyFont="1" applyFill="1" applyBorder="1" applyAlignment="1" applyProtection="1">
      <alignment horizontal="left"/>
      <protection locked="0"/>
    </xf>
    <xf numFmtId="0" fontId="6" fillId="3" borderId="19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</cellXfs>
  <cellStyles count="1">
    <cellStyle name="Normal" xfId="0" builtinId="0"/>
  </cellStyles>
  <dxfs count="7">
    <dxf>
      <font>
        <condense val="0"/>
        <extend val="0"/>
        <color indexed="9"/>
      </font>
    </dxf>
    <dxf>
      <font>
        <color theme="0" tint="-0.34998626667073579"/>
      </font>
      <fill>
        <patternFill patternType="none">
          <bgColor indexed="65"/>
        </patternFill>
      </fill>
    </dxf>
    <dxf>
      <font>
        <color theme="0" tint="-0.34998626667073579"/>
        <name val="Cambria"/>
        <scheme val="none"/>
      </font>
      <fill>
        <patternFill patternType="none">
          <bgColor indexed="65"/>
        </patternFill>
      </fill>
    </dxf>
    <dxf>
      <font>
        <condense val="0"/>
        <extend val="0"/>
        <color indexed="22"/>
      </font>
    </dxf>
    <dxf>
      <font>
        <color theme="0" tint="-0.34998626667073579"/>
        <name val="Cambria"/>
        <scheme val="none"/>
      </font>
      <fill>
        <patternFill patternType="none">
          <bgColor indexed="65"/>
        </patternFill>
      </fill>
    </dxf>
    <dxf>
      <font>
        <color theme="0" tint="-0.34998626667073579"/>
        <name val="Cambria"/>
        <scheme val="none"/>
      </font>
      <fill>
        <patternFill patternType="none">
          <bgColor indexed="65"/>
        </patternFill>
      </fill>
    </dxf>
    <dxf>
      <font>
        <condense val="0"/>
        <extend val="0"/>
        <color indexed="9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51145038167939"/>
          <c:y val="7.8167115902964962E-2"/>
          <c:w val="0.76717557251908397"/>
          <c:h val="0.72506738544474392"/>
        </c:manualLayout>
      </c:layout>
      <c:scatterChart>
        <c:scatterStyle val="lineMarker"/>
        <c:varyColors val="0"/>
        <c:ser>
          <c:idx val="0"/>
          <c:order val="0"/>
          <c:tx>
            <c:strRef>
              <c:f>'SUELO - ANALITICO'!$C$75</c:f>
              <c:strCache>
                <c:ptCount val="1"/>
                <c:pt idx="0">
                  <c:v>650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'SUELO - ANALITICO'!$B$76:$B$90</c:f>
              <c:numCache>
                <c:formatCode>0.0</c:formatCode>
                <c:ptCount val="15"/>
                <c:pt idx="0">
                  <c:v>15</c:v>
                </c:pt>
                <c:pt idx="1">
                  <c:v>15.5</c:v>
                </c:pt>
                <c:pt idx="2">
                  <c:v>16</c:v>
                </c:pt>
                <c:pt idx="3">
                  <c:v>16.5</c:v>
                </c:pt>
                <c:pt idx="4">
                  <c:v>17</c:v>
                </c:pt>
                <c:pt idx="5">
                  <c:v>17.5</c:v>
                </c:pt>
                <c:pt idx="6">
                  <c:v>18</c:v>
                </c:pt>
                <c:pt idx="7">
                  <c:v>18.5</c:v>
                </c:pt>
                <c:pt idx="8">
                  <c:v>19</c:v>
                </c:pt>
                <c:pt idx="9">
                  <c:v>19.5</c:v>
                </c:pt>
                <c:pt idx="10">
                  <c:v>20</c:v>
                </c:pt>
                <c:pt idx="11">
                  <c:v>20.5</c:v>
                </c:pt>
                <c:pt idx="12">
                  <c:v>21</c:v>
                </c:pt>
                <c:pt idx="13">
                  <c:v>21.5</c:v>
                </c:pt>
                <c:pt idx="14">
                  <c:v>22</c:v>
                </c:pt>
              </c:numCache>
            </c:numRef>
          </c:xVal>
          <c:yVal>
            <c:numRef>
              <c:f>'SUELO - ANALITICO'!$C$76:$C$90</c:f>
              <c:numCache>
                <c:formatCode>0.0</c:formatCode>
                <c:ptCount val="15"/>
                <c:pt idx="0">
                  <c:v>654.9296057197738</c:v>
                </c:pt>
                <c:pt idx="1">
                  <c:v>679.23954887255195</c:v>
                </c:pt>
                <c:pt idx="2">
                  <c:v>703.54949202532998</c:v>
                </c:pt>
                <c:pt idx="3">
                  <c:v>727.85943517810813</c:v>
                </c:pt>
                <c:pt idx="4">
                  <c:v>752.16937833088639</c:v>
                </c:pt>
                <c:pt idx="5">
                  <c:v>776.47932148366453</c:v>
                </c:pt>
                <c:pt idx="6">
                  <c:v>800.78926463644279</c:v>
                </c:pt>
                <c:pt idx="7">
                  <c:v>825.09920778922094</c:v>
                </c:pt>
                <c:pt idx="8">
                  <c:v>849.4091509419992</c:v>
                </c:pt>
                <c:pt idx="9">
                  <c:v>873.71909409477723</c:v>
                </c:pt>
                <c:pt idx="10">
                  <c:v>898.02903724755538</c:v>
                </c:pt>
                <c:pt idx="11">
                  <c:v>922.33898040033353</c:v>
                </c:pt>
                <c:pt idx="12">
                  <c:v>946.64892355311179</c:v>
                </c:pt>
                <c:pt idx="13">
                  <c:v>970.95886670588982</c:v>
                </c:pt>
                <c:pt idx="14">
                  <c:v>995.26880985866796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F0-4BC8-857F-1D6E15B2660D}"/>
            </c:ext>
          </c:extLst>
        </c:ser>
        <c:ser>
          <c:idx val="1"/>
          <c:order val="1"/>
          <c:tx>
            <c:strRef>
              <c:f>'SUELO - ANALITICO'!$D$75</c:f>
              <c:strCache>
                <c:ptCount val="1"/>
                <c:pt idx="0">
                  <c:v>700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'SUELO - ANALITICO'!$B$76:$B$90</c:f>
              <c:numCache>
                <c:formatCode>0.0</c:formatCode>
                <c:ptCount val="15"/>
                <c:pt idx="0">
                  <c:v>15</c:v>
                </c:pt>
                <c:pt idx="1">
                  <c:v>15.5</c:v>
                </c:pt>
                <c:pt idx="2">
                  <c:v>16</c:v>
                </c:pt>
                <c:pt idx="3">
                  <c:v>16.5</c:v>
                </c:pt>
                <c:pt idx="4">
                  <c:v>17</c:v>
                </c:pt>
                <c:pt idx="5">
                  <c:v>17.5</c:v>
                </c:pt>
                <c:pt idx="6">
                  <c:v>18</c:v>
                </c:pt>
                <c:pt idx="7">
                  <c:v>18.5</c:v>
                </c:pt>
                <c:pt idx="8">
                  <c:v>19</c:v>
                </c:pt>
                <c:pt idx="9">
                  <c:v>19.5</c:v>
                </c:pt>
                <c:pt idx="10">
                  <c:v>20</c:v>
                </c:pt>
                <c:pt idx="11">
                  <c:v>20.5</c:v>
                </c:pt>
                <c:pt idx="12">
                  <c:v>21</c:v>
                </c:pt>
                <c:pt idx="13">
                  <c:v>21.5</c:v>
                </c:pt>
                <c:pt idx="14">
                  <c:v>22</c:v>
                </c:pt>
              </c:numCache>
            </c:numRef>
          </c:xVal>
          <c:yVal>
            <c:numRef>
              <c:f>'SUELO - ANALITICO'!$D$76:$D$90</c:f>
              <c:numCache>
                <c:formatCode>0.0</c:formatCode>
                <c:ptCount val="15"/>
                <c:pt idx="0">
                  <c:v>725.9255079489393</c:v>
                </c:pt>
                <c:pt idx="1">
                  <c:v>752.1054467288543</c:v>
                </c:pt>
                <c:pt idx="2">
                  <c:v>778.2853855087692</c:v>
                </c:pt>
                <c:pt idx="3">
                  <c:v>804.4653242886842</c:v>
                </c:pt>
                <c:pt idx="4">
                  <c:v>830.64526306859909</c:v>
                </c:pt>
                <c:pt idx="5">
                  <c:v>856.82520184851398</c:v>
                </c:pt>
                <c:pt idx="6">
                  <c:v>883.00514062842899</c:v>
                </c:pt>
                <c:pt idx="7">
                  <c:v>909.18507940834388</c:v>
                </c:pt>
                <c:pt idx="8">
                  <c:v>935.36501818825889</c:v>
                </c:pt>
                <c:pt idx="9">
                  <c:v>961.54495696817366</c:v>
                </c:pt>
                <c:pt idx="10">
                  <c:v>987.72489574808867</c:v>
                </c:pt>
                <c:pt idx="11">
                  <c:v>1013.9048345280037</c:v>
                </c:pt>
                <c:pt idx="12">
                  <c:v>1040.0847733079186</c:v>
                </c:pt>
                <c:pt idx="13">
                  <c:v>1066.2647120878337</c:v>
                </c:pt>
                <c:pt idx="14">
                  <c:v>1092.4446508677484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F0-4BC8-857F-1D6E15B2660D}"/>
            </c:ext>
          </c:extLst>
        </c:ser>
        <c:ser>
          <c:idx val="2"/>
          <c:order val="2"/>
          <c:tx>
            <c:strRef>
              <c:f>'SUELO - ANALITICO'!$E$75</c:f>
              <c:strCache>
                <c:ptCount val="1"/>
                <c:pt idx="0">
                  <c:v>750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'SUELO - ANALITICO'!$B$76:$B$90</c:f>
              <c:numCache>
                <c:formatCode>0.0</c:formatCode>
                <c:ptCount val="15"/>
                <c:pt idx="0">
                  <c:v>15</c:v>
                </c:pt>
                <c:pt idx="1">
                  <c:v>15.5</c:v>
                </c:pt>
                <c:pt idx="2">
                  <c:v>16</c:v>
                </c:pt>
                <c:pt idx="3">
                  <c:v>16.5</c:v>
                </c:pt>
                <c:pt idx="4">
                  <c:v>17</c:v>
                </c:pt>
                <c:pt idx="5">
                  <c:v>17.5</c:v>
                </c:pt>
                <c:pt idx="6">
                  <c:v>18</c:v>
                </c:pt>
                <c:pt idx="7">
                  <c:v>18.5</c:v>
                </c:pt>
                <c:pt idx="8">
                  <c:v>19</c:v>
                </c:pt>
                <c:pt idx="9">
                  <c:v>19.5</c:v>
                </c:pt>
                <c:pt idx="10">
                  <c:v>20</c:v>
                </c:pt>
                <c:pt idx="11">
                  <c:v>20.5</c:v>
                </c:pt>
                <c:pt idx="12">
                  <c:v>21</c:v>
                </c:pt>
                <c:pt idx="13">
                  <c:v>21.5</c:v>
                </c:pt>
                <c:pt idx="14">
                  <c:v>22</c:v>
                </c:pt>
              </c:numCache>
            </c:numRef>
          </c:xVal>
          <c:yVal>
            <c:numRef>
              <c:f>'SUELO - ANALITICO'!$E$76:$E$90</c:f>
              <c:numCache>
                <c:formatCode>0.0</c:formatCode>
                <c:ptCount val="15"/>
                <c:pt idx="0">
                  <c:v>799.86665329084542</c:v>
                </c:pt>
                <c:pt idx="1">
                  <c:v>827.91658769789706</c:v>
                </c:pt>
                <c:pt idx="2">
                  <c:v>855.96652210494869</c:v>
                </c:pt>
                <c:pt idx="3">
                  <c:v>884.01645651200067</c:v>
                </c:pt>
                <c:pt idx="4">
                  <c:v>912.0663909190522</c:v>
                </c:pt>
                <c:pt idx="5">
                  <c:v>940.11632532610417</c:v>
                </c:pt>
                <c:pt idx="6">
                  <c:v>968.1662597331557</c:v>
                </c:pt>
                <c:pt idx="7">
                  <c:v>996.21619414020745</c:v>
                </c:pt>
                <c:pt idx="8">
                  <c:v>1024.2661285472591</c:v>
                </c:pt>
                <c:pt idx="9">
                  <c:v>1052.3160629543108</c:v>
                </c:pt>
                <c:pt idx="10">
                  <c:v>1080.3659973613626</c:v>
                </c:pt>
                <c:pt idx="11">
                  <c:v>1108.4159317684143</c:v>
                </c:pt>
                <c:pt idx="12">
                  <c:v>1136.4658661754661</c:v>
                </c:pt>
                <c:pt idx="13">
                  <c:v>1164.5158005825178</c:v>
                </c:pt>
                <c:pt idx="14">
                  <c:v>1192.5657349895696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F0-4BC8-857F-1D6E15B2660D}"/>
            </c:ext>
          </c:extLst>
        </c:ser>
        <c:ser>
          <c:idx val="3"/>
          <c:order val="3"/>
          <c:tx>
            <c:strRef>
              <c:f>'SUELO - ANALITICO'!$F$75</c:f>
              <c:strCache>
                <c:ptCount val="1"/>
                <c:pt idx="0">
                  <c:v>800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'SUELO - ANALITICO'!$B$76:$B$90</c:f>
              <c:numCache>
                <c:formatCode>0.0</c:formatCode>
                <c:ptCount val="15"/>
                <c:pt idx="0">
                  <c:v>15</c:v>
                </c:pt>
                <c:pt idx="1">
                  <c:v>15.5</c:v>
                </c:pt>
                <c:pt idx="2">
                  <c:v>16</c:v>
                </c:pt>
                <c:pt idx="3">
                  <c:v>16.5</c:v>
                </c:pt>
                <c:pt idx="4">
                  <c:v>17</c:v>
                </c:pt>
                <c:pt idx="5">
                  <c:v>17.5</c:v>
                </c:pt>
                <c:pt idx="6">
                  <c:v>18</c:v>
                </c:pt>
                <c:pt idx="7">
                  <c:v>18.5</c:v>
                </c:pt>
                <c:pt idx="8">
                  <c:v>19</c:v>
                </c:pt>
                <c:pt idx="9">
                  <c:v>19.5</c:v>
                </c:pt>
                <c:pt idx="10">
                  <c:v>20</c:v>
                </c:pt>
                <c:pt idx="11">
                  <c:v>20.5</c:v>
                </c:pt>
                <c:pt idx="12">
                  <c:v>21</c:v>
                </c:pt>
                <c:pt idx="13">
                  <c:v>21.5</c:v>
                </c:pt>
                <c:pt idx="14">
                  <c:v>22</c:v>
                </c:pt>
              </c:numCache>
            </c:numRef>
          </c:xVal>
          <c:yVal>
            <c:numRef>
              <c:f>'SUELO - ANALITICO'!$F$76:$F$90</c:f>
              <c:numCache>
                <c:formatCode>0.0</c:formatCode>
                <c:ptCount val="15"/>
                <c:pt idx="0">
                  <c:v>876.75304174549206</c:v>
                </c:pt>
                <c:pt idx="1">
                  <c:v>906.67297177968055</c:v>
                </c:pt>
                <c:pt idx="2">
                  <c:v>936.59290181386893</c:v>
                </c:pt>
                <c:pt idx="3">
                  <c:v>966.51283184805743</c:v>
                </c:pt>
                <c:pt idx="4">
                  <c:v>996.43276188224593</c:v>
                </c:pt>
                <c:pt idx="5">
                  <c:v>1026.3526919164347</c:v>
                </c:pt>
                <c:pt idx="6">
                  <c:v>1056.272621950623</c:v>
                </c:pt>
                <c:pt idx="7">
                  <c:v>1086.1925519848114</c:v>
                </c:pt>
                <c:pt idx="8">
                  <c:v>1116.112482019</c:v>
                </c:pt>
                <c:pt idx="9">
                  <c:v>1146.0324120531886</c:v>
                </c:pt>
                <c:pt idx="10">
                  <c:v>1175.9523420873772</c:v>
                </c:pt>
                <c:pt idx="11">
                  <c:v>1205.8722721215654</c:v>
                </c:pt>
                <c:pt idx="12">
                  <c:v>1235.792202155754</c:v>
                </c:pt>
                <c:pt idx="13">
                  <c:v>1265.7121321899426</c:v>
                </c:pt>
                <c:pt idx="14">
                  <c:v>1295.632062224131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CF0-4BC8-857F-1D6E15B2660D}"/>
            </c:ext>
          </c:extLst>
        </c:ser>
        <c:ser>
          <c:idx val="4"/>
          <c:order val="4"/>
          <c:tx>
            <c:strRef>
              <c:f>'SUELO - ANALITICO'!$G$75</c:f>
              <c:strCache>
                <c:ptCount val="1"/>
                <c:pt idx="0">
                  <c:v>850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xVal>
            <c:numRef>
              <c:f>'SUELO - ANALITICO'!$B$76:$B$90</c:f>
              <c:numCache>
                <c:formatCode>0.0</c:formatCode>
                <c:ptCount val="15"/>
                <c:pt idx="0">
                  <c:v>15</c:v>
                </c:pt>
                <c:pt idx="1">
                  <c:v>15.5</c:v>
                </c:pt>
                <c:pt idx="2">
                  <c:v>16</c:v>
                </c:pt>
                <c:pt idx="3">
                  <c:v>16.5</c:v>
                </c:pt>
                <c:pt idx="4">
                  <c:v>17</c:v>
                </c:pt>
                <c:pt idx="5">
                  <c:v>17.5</c:v>
                </c:pt>
                <c:pt idx="6">
                  <c:v>18</c:v>
                </c:pt>
                <c:pt idx="7">
                  <c:v>18.5</c:v>
                </c:pt>
                <c:pt idx="8">
                  <c:v>19</c:v>
                </c:pt>
                <c:pt idx="9">
                  <c:v>19.5</c:v>
                </c:pt>
                <c:pt idx="10">
                  <c:v>20</c:v>
                </c:pt>
                <c:pt idx="11">
                  <c:v>20.5</c:v>
                </c:pt>
                <c:pt idx="12">
                  <c:v>21</c:v>
                </c:pt>
                <c:pt idx="13">
                  <c:v>21.5</c:v>
                </c:pt>
                <c:pt idx="14">
                  <c:v>22</c:v>
                </c:pt>
              </c:numCache>
            </c:numRef>
          </c:xVal>
          <c:yVal>
            <c:numRef>
              <c:f>'SUELO - ANALITICO'!$G$76:$G$90</c:f>
              <c:numCache>
                <c:formatCode>0.0</c:formatCode>
                <c:ptCount val="15"/>
                <c:pt idx="0">
                  <c:v>951.02143632214688</c:v>
                </c:pt>
                <c:pt idx="1">
                  <c:v>988.37459897420399</c:v>
                </c:pt>
                <c:pt idx="2">
                  <c:v>1020.1645246355292</c:v>
                </c:pt>
                <c:pt idx="3">
                  <c:v>1051.9544502968547</c:v>
                </c:pt>
                <c:pt idx="4">
                  <c:v>1083.7443759581797</c:v>
                </c:pt>
                <c:pt idx="5">
                  <c:v>1115.5343016195052</c:v>
                </c:pt>
                <c:pt idx="6">
                  <c:v>1147.3242272808304</c:v>
                </c:pt>
                <c:pt idx="7">
                  <c:v>1179.1141529421557</c:v>
                </c:pt>
                <c:pt idx="8">
                  <c:v>1210.9040786034811</c:v>
                </c:pt>
                <c:pt idx="9">
                  <c:v>1242.6940042648062</c:v>
                </c:pt>
                <c:pt idx="10">
                  <c:v>1274.4839299261316</c:v>
                </c:pt>
                <c:pt idx="11">
                  <c:v>1306.2738555874569</c:v>
                </c:pt>
                <c:pt idx="12">
                  <c:v>1338.0637812487821</c:v>
                </c:pt>
                <c:pt idx="13">
                  <c:v>1369.8537069101076</c:v>
                </c:pt>
                <c:pt idx="14">
                  <c:v>1401.6436325714328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CF0-4BC8-857F-1D6E15B2660D}"/>
            </c:ext>
          </c:extLst>
        </c:ser>
        <c:ser>
          <c:idx val="5"/>
          <c:order val="5"/>
          <c:tx>
            <c:strRef>
              <c:f>'SUELO - ANALITICO'!$H$75</c:f>
              <c:strCache>
                <c:ptCount val="1"/>
                <c:pt idx="0">
                  <c:v>900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'SUELO - ANALITICO'!$B$76:$B$90</c:f>
              <c:numCache>
                <c:formatCode>0.0</c:formatCode>
                <c:ptCount val="15"/>
                <c:pt idx="0">
                  <c:v>15</c:v>
                </c:pt>
                <c:pt idx="1">
                  <c:v>15.5</c:v>
                </c:pt>
                <c:pt idx="2">
                  <c:v>16</c:v>
                </c:pt>
                <c:pt idx="3">
                  <c:v>16.5</c:v>
                </c:pt>
                <c:pt idx="4">
                  <c:v>17</c:v>
                </c:pt>
                <c:pt idx="5">
                  <c:v>17.5</c:v>
                </c:pt>
                <c:pt idx="6">
                  <c:v>18</c:v>
                </c:pt>
                <c:pt idx="7">
                  <c:v>18.5</c:v>
                </c:pt>
                <c:pt idx="8">
                  <c:v>19</c:v>
                </c:pt>
                <c:pt idx="9">
                  <c:v>19.5</c:v>
                </c:pt>
                <c:pt idx="10">
                  <c:v>20</c:v>
                </c:pt>
                <c:pt idx="11">
                  <c:v>20.5</c:v>
                </c:pt>
                <c:pt idx="12">
                  <c:v>21</c:v>
                </c:pt>
                <c:pt idx="13">
                  <c:v>21.5</c:v>
                </c:pt>
                <c:pt idx="14">
                  <c:v>22</c:v>
                </c:pt>
              </c:numCache>
            </c:numRef>
          </c:xVal>
          <c:yVal>
            <c:numRef>
              <c:f>'SUELO - ANALITICO'!$H$76:$H$90</c:f>
              <c:numCache>
                <c:formatCode>0.0</c:formatCode>
                <c:ptCount val="15"/>
                <c:pt idx="0">
                  <c:v>1015.7996030910826</c:v>
                </c:pt>
                <c:pt idx="1">
                  <c:v>1073.0214692814682</c:v>
                </c:pt>
                <c:pt idx="2">
                  <c:v>1106.6813905699303</c:v>
                </c:pt>
                <c:pt idx="3">
                  <c:v>1140.3413118583924</c:v>
                </c:pt>
                <c:pt idx="4">
                  <c:v>1174.0012331468542</c:v>
                </c:pt>
                <c:pt idx="5">
                  <c:v>1207.6611544353166</c:v>
                </c:pt>
                <c:pt idx="6">
                  <c:v>1241.3210757237784</c:v>
                </c:pt>
                <c:pt idx="7">
                  <c:v>1274.9809970122408</c:v>
                </c:pt>
                <c:pt idx="8">
                  <c:v>1308.6409183007027</c:v>
                </c:pt>
                <c:pt idx="9">
                  <c:v>1342.3008395891648</c:v>
                </c:pt>
                <c:pt idx="10">
                  <c:v>1375.9607608776269</c:v>
                </c:pt>
                <c:pt idx="11">
                  <c:v>1409.620682166089</c:v>
                </c:pt>
                <c:pt idx="12">
                  <c:v>1443.2806034545511</c:v>
                </c:pt>
                <c:pt idx="13">
                  <c:v>1476.9405247430132</c:v>
                </c:pt>
                <c:pt idx="14">
                  <c:v>1510.6004460314748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CF0-4BC8-857F-1D6E15B26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634511"/>
        <c:axId val="1"/>
      </c:scatterChart>
      <c:valAx>
        <c:axId val="283634511"/>
        <c:scaling>
          <c:orientation val="minMax"/>
          <c:min val="10"/>
        </c:scaling>
        <c:delete val="0"/>
        <c:axPos val="b"/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Longitud (m)</a:t>
                </a:r>
              </a:p>
            </c:rich>
          </c:tx>
          <c:layout>
            <c:manualLayout>
              <c:xMode val="edge"/>
              <c:yMode val="edge"/>
              <c:x val="0.46374048368236953"/>
              <c:y val="0.87027140680984361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s-ES" sz="102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</a:t>
                </a:r>
                <a:r>
                  <a:rPr lang="es-ES" sz="1025" b="1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fd</a:t>
                </a:r>
                <a:r>
                  <a:rPr lang="es-ES" sz="102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 (kN)</a:t>
                </a:r>
              </a:p>
            </c:rich>
          </c:tx>
          <c:layout>
            <c:manualLayout>
              <c:xMode val="edge"/>
              <c:yMode val="edge"/>
              <c:x val="2.6717654557042704E-2"/>
              <c:y val="0.35946019009204233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283634511"/>
        <c:crosses val="autoZero"/>
        <c:crossBetween val="midCat"/>
      </c:valAx>
      <c:spPr>
        <a:solidFill>
          <a:srgbClr val="FFFFCC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0305335160064838"/>
          <c:y val="0.94339633976270687"/>
          <c:w val="0.86832056126827362"/>
          <c:h val="4.312672087651170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 paperSize="9" orientation="landscape" horizontalDpi="300" verticalDpi="300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3" Type="http://schemas.openxmlformats.org/officeDocument/2006/relationships/chart" Target="../charts/chart1.xml"/><Relationship Id="rId7" Type="http://schemas.openxmlformats.org/officeDocument/2006/relationships/image" Target="../media/image6.emf"/><Relationship Id="rId2" Type="http://schemas.openxmlformats.org/officeDocument/2006/relationships/image" Target="../media/image2.emf"/><Relationship Id="rId1" Type="http://schemas.openxmlformats.org/officeDocument/2006/relationships/image" Target="../media/image1.jpeg"/><Relationship Id="rId6" Type="http://schemas.openxmlformats.org/officeDocument/2006/relationships/image" Target="../media/image5.emf"/><Relationship Id="rId11" Type="http://schemas.openxmlformats.org/officeDocument/2006/relationships/image" Target="../media/image10.emf"/><Relationship Id="rId5" Type="http://schemas.openxmlformats.org/officeDocument/2006/relationships/image" Target="../media/image4.emf"/><Relationship Id="rId10" Type="http://schemas.openxmlformats.org/officeDocument/2006/relationships/image" Target="../media/image9.emf"/><Relationship Id="rId4" Type="http://schemas.openxmlformats.org/officeDocument/2006/relationships/image" Target="../media/image3.emf"/><Relationship Id="rId9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314325</xdr:colOff>
      <xdr:row>0</xdr:row>
      <xdr:rowOff>180975</xdr:rowOff>
    </xdr:from>
    <xdr:to>
      <xdr:col>15</xdr:col>
      <xdr:colOff>419100</xdr:colOff>
      <xdr:row>2</xdr:row>
      <xdr:rowOff>123825</xdr:rowOff>
    </xdr:to>
    <xdr:pic>
      <xdr:nvPicPr>
        <xdr:cNvPr id="46577" name="Picture 1" descr="image008">
          <a:extLst>
            <a:ext uri="{FF2B5EF4-FFF2-40B4-BE49-F238E27FC236}">
              <a16:creationId xmlns:a16="http://schemas.microsoft.com/office/drawing/2014/main" id="{46FE2E3D-6574-7AE8-B65B-C3332381F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62975" y="180975"/>
          <a:ext cx="160972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371475</xdr:colOff>
      <xdr:row>31</xdr:row>
      <xdr:rowOff>66675</xdr:rowOff>
    </xdr:from>
    <xdr:to>
      <xdr:col>14</xdr:col>
      <xdr:colOff>495300</xdr:colOff>
      <xdr:row>47</xdr:row>
      <xdr:rowOff>38100</xdr:rowOff>
    </xdr:to>
    <xdr:pic>
      <xdr:nvPicPr>
        <xdr:cNvPr id="46578" name="Picture 20">
          <a:extLst>
            <a:ext uri="{FF2B5EF4-FFF2-40B4-BE49-F238E27FC236}">
              <a16:creationId xmlns:a16="http://schemas.microsoft.com/office/drawing/2014/main" id="{02443DBB-7064-11E2-8EA7-3C0AED0FE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76875" y="5429250"/>
          <a:ext cx="4019550" cy="2562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152400</xdr:colOff>
      <xdr:row>71</xdr:row>
      <xdr:rowOff>104775</xdr:rowOff>
    </xdr:from>
    <xdr:to>
      <xdr:col>15</xdr:col>
      <xdr:colOff>495300</xdr:colOff>
      <xdr:row>91</xdr:row>
      <xdr:rowOff>19050</xdr:rowOff>
    </xdr:to>
    <xdr:graphicFrame macro="">
      <xdr:nvGraphicFramePr>
        <xdr:cNvPr id="46579" name="Chart 23">
          <a:extLst>
            <a:ext uri="{FF2B5EF4-FFF2-40B4-BE49-F238E27FC236}">
              <a16:creationId xmlns:a16="http://schemas.microsoft.com/office/drawing/2014/main" id="{312AB704-9395-AFBB-0F8F-150FF1081F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228600</xdr:colOff>
      <xdr:row>25</xdr:row>
      <xdr:rowOff>9525</xdr:rowOff>
    </xdr:from>
    <xdr:to>
      <xdr:col>14</xdr:col>
      <xdr:colOff>638175</xdr:colOff>
      <xdr:row>27</xdr:row>
      <xdr:rowOff>142875</xdr:rowOff>
    </xdr:to>
    <xdr:pic>
      <xdr:nvPicPr>
        <xdr:cNvPr id="46580" name="Picture 50">
          <a:extLst>
            <a:ext uri="{FF2B5EF4-FFF2-40B4-BE49-F238E27FC236}">
              <a16:creationId xmlns:a16="http://schemas.microsoft.com/office/drawing/2014/main" id="{614463D9-642A-CC35-755F-2D0699679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8600" y="4400550"/>
          <a:ext cx="17907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28575</xdr:colOff>
      <xdr:row>25</xdr:row>
      <xdr:rowOff>95250</xdr:rowOff>
    </xdr:from>
    <xdr:to>
      <xdr:col>11</xdr:col>
      <xdr:colOff>123825</xdr:colOff>
      <xdr:row>27</xdr:row>
      <xdr:rowOff>9525</xdr:rowOff>
    </xdr:to>
    <xdr:pic>
      <xdr:nvPicPr>
        <xdr:cNvPr id="46581" name="Picture 51">
          <a:extLst>
            <a:ext uri="{FF2B5EF4-FFF2-40B4-BE49-F238E27FC236}">
              <a16:creationId xmlns:a16="http://schemas.microsoft.com/office/drawing/2014/main" id="{95BE0C12-31A9-BDE7-D982-38749EE2A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91275" y="4486275"/>
          <a:ext cx="723900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228600</xdr:colOff>
      <xdr:row>22</xdr:row>
      <xdr:rowOff>123825</xdr:rowOff>
    </xdr:from>
    <xdr:to>
      <xdr:col>14</xdr:col>
      <xdr:colOff>647700</xdr:colOff>
      <xdr:row>24</xdr:row>
      <xdr:rowOff>47625</xdr:rowOff>
    </xdr:to>
    <xdr:pic>
      <xdr:nvPicPr>
        <xdr:cNvPr id="46582" name="Picture 52">
          <a:extLst>
            <a:ext uri="{FF2B5EF4-FFF2-40B4-BE49-F238E27FC236}">
              <a16:creationId xmlns:a16="http://schemas.microsoft.com/office/drawing/2014/main" id="{3076DC11-3E8D-8086-FA62-569CA78724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8600" y="4029075"/>
          <a:ext cx="18002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180975</xdr:colOff>
      <xdr:row>22</xdr:row>
      <xdr:rowOff>133350</xdr:rowOff>
    </xdr:from>
    <xdr:to>
      <xdr:col>11</xdr:col>
      <xdr:colOff>466725</xdr:colOff>
      <xdr:row>24</xdr:row>
      <xdr:rowOff>76200</xdr:rowOff>
    </xdr:to>
    <xdr:pic>
      <xdr:nvPicPr>
        <xdr:cNvPr id="46583" name="Picture 53">
          <a:extLst>
            <a:ext uri="{FF2B5EF4-FFF2-40B4-BE49-F238E27FC236}">
              <a16:creationId xmlns:a16="http://schemas.microsoft.com/office/drawing/2014/main" id="{83D70C6C-27F1-1A75-FFF2-94FC34D77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4038600"/>
          <a:ext cx="15430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257175</xdr:colOff>
      <xdr:row>17</xdr:row>
      <xdr:rowOff>47625</xdr:rowOff>
    </xdr:from>
    <xdr:to>
      <xdr:col>11</xdr:col>
      <xdr:colOff>419100</xdr:colOff>
      <xdr:row>18</xdr:row>
      <xdr:rowOff>142875</xdr:rowOff>
    </xdr:to>
    <xdr:pic>
      <xdr:nvPicPr>
        <xdr:cNvPr id="46584" name="Picture 69">
          <a:extLst>
            <a:ext uri="{FF2B5EF4-FFF2-40B4-BE49-F238E27FC236}">
              <a16:creationId xmlns:a16="http://schemas.microsoft.com/office/drawing/2014/main" id="{71502983-9133-278E-9F3D-06BBAFE4D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9875" y="3143250"/>
          <a:ext cx="7905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200025</xdr:colOff>
      <xdr:row>17</xdr:row>
      <xdr:rowOff>19050</xdr:rowOff>
    </xdr:from>
    <xdr:to>
      <xdr:col>13</xdr:col>
      <xdr:colOff>457200</xdr:colOff>
      <xdr:row>18</xdr:row>
      <xdr:rowOff>104775</xdr:rowOff>
    </xdr:to>
    <xdr:pic>
      <xdr:nvPicPr>
        <xdr:cNvPr id="46585" name="Picture 70">
          <a:extLst>
            <a:ext uri="{FF2B5EF4-FFF2-40B4-BE49-F238E27FC236}">
              <a16:creationId xmlns:a16="http://schemas.microsoft.com/office/drawing/2014/main" id="{2B2F9740-A809-B964-59AA-61C3404DA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0025" y="3114675"/>
          <a:ext cx="8858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466725</xdr:colOff>
      <xdr:row>13</xdr:row>
      <xdr:rowOff>133350</xdr:rowOff>
    </xdr:from>
    <xdr:to>
      <xdr:col>13</xdr:col>
      <xdr:colOff>38100</xdr:colOff>
      <xdr:row>15</xdr:row>
      <xdr:rowOff>76200</xdr:rowOff>
    </xdr:to>
    <xdr:pic>
      <xdr:nvPicPr>
        <xdr:cNvPr id="46586" name="Picture 71">
          <a:extLst>
            <a:ext uri="{FF2B5EF4-FFF2-40B4-BE49-F238E27FC236}">
              <a16:creationId xmlns:a16="http://schemas.microsoft.com/office/drawing/2014/main" id="{17E33AD6-C962-B251-1F90-8C376813D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2581275"/>
          <a:ext cx="145732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161925</xdr:colOff>
      <xdr:row>101</xdr:row>
      <xdr:rowOff>104775</xdr:rowOff>
    </xdr:from>
    <xdr:to>
      <xdr:col>14</xdr:col>
      <xdr:colOff>123825</xdr:colOff>
      <xdr:row>105</xdr:row>
      <xdr:rowOff>0</xdr:rowOff>
    </xdr:to>
    <xdr:pic>
      <xdr:nvPicPr>
        <xdr:cNvPr id="46587" name="Picture 134">
          <a:extLst>
            <a:ext uri="{FF2B5EF4-FFF2-40B4-BE49-F238E27FC236}">
              <a16:creationId xmlns:a16="http://schemas.microsoft.com/office/drawing/2014/main" id="{84F4F650-602B-CA6C-F462-BAC8E8DB8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17335500"/>
          <a:ext cx="197167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2CE05-D5E3-41D3-BFC7-6573EE202B88}">
  <sheetPr codeName="Hoja2">
    <pageSetUpPr fitToPage="1"/>
  </sheetPr>
  <dimension ref="A1:DL106"/>
  <sheetViews>
    <sheetView showGridLines="0" tabSelected="1" view="pageBreakPreview" zoomScale="85" zoomScaleNormal="40" zoomScaleSheetLayoutView="85" workbookViewId="0">
      <selection activeCell="D8" sqref="D8"/>
    </sheetView>
  </sheetViews>
  <sheetFormatPr baseColWidth="10" defaultRowHeight="12.75" x14ac:dyDescent="0.2"/>
  <cols>
    <col min="1" max="1" width="11.28515625" customWidth="1"/>
    <col min="2" max="2" width="7.85546875" customWidth="1"/>
    <col min="3" max="3" width="10.28515625" customWidth="1"/>
    <col min="4" max="13" width="9.42578125" customWidth="1"/>
    <col min="14" max="16" width="11.28515625" customWidth="1"/>
    <col min="25" max="25" width="11.140625" customWidth="1"/>
  </cols>
  <sheetData>
    <row r="1" spans="1:23" ht="18.75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1"/>
      <c r="O1" s="2"/>
      <c r="P1" s="3"/>
      <c r="R1" t="s">
        <v>23</v>
      </c>
      <c r="S1" t="s">
        <v>38</v>
      </c>
      <c r="T1" t="s">
        <v>18</v>
      </c>
      <c r="U1" t="s">
        <v>36</v>
      </c>
      <c r="W1" t="s">
        <v>45</v>
      </c>
    </row>
    <row r="2" spans="1:23" ht="18.75" customHeight="1" x14ac:dyDescent="0.25">
      <c r="A2" s="24" t="s">
        <v>17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18"/>
      <c r="N2" s="4"/>
      <c r="O2" s="5"/>
      <c r="P2" s="9"/>
      <c r="R2" t="s">
        <v>24</v>
      </c>
      <c r="S2">
        <v>1</v>
      </c>
      <c r="W2" t="s">
        <v>46</v>
      </c>
    </row>
    <row r="3" spans="1:23" ht="18.75" customHeight="1" thickBot="1" x14ac:dyDescent="0.25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10"/>
      <c r="N3" s="6"/>
      <c r="O3" s="7"/>
      <c r="P3" s="10"/>
      <c r="R3" t="s">
        <v>41</v>
      </c>
      <c r="S3">
        <v>0.75</v>
      </c>
      <c r="T3">
        <v>1</v>
      </c>
      <c r="W3" t="s">
        <v>47</v>
      </c>
    </row>
    <row r="4" spans="1:23" ht="18.75" customHeight="1" thickBo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23" x14ac:dyDescent="0.2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"/>
      <c r="R5" t="s">
        <v>25</v>
      </c>
      <c r="T5">
        <v>1</v>
      </c>
      <c r="U5">
        <v>5</v>
      </c>
    </row>
    <row r="6" spans="1:23" x14ac:dyDescent="0.2">
      <c r="A6" s="4"/>
      <c r="B6" s="11" t="s">
        <v>118</v>
      </c>
      <c r="D6" s="160"/>
      <c r="E6" s="11"/>
      <c r="F6" s="11"/>
      <c r="G6" s="11"/>
      <c r="H6" s="11"/>
      <c r="I6" s="5"/>
      <c r="J6" s="5"/>
      <c r="K6" s="5"/>
      <c r="L6" s="5"/>
      <c r="M6" s="5"/>
      <c r="N6" s="5"/>
      <c r="O6" s="5"/>
      <c r="P6" s="9"/>
      <c r="R6" t="s">
        <v>31</v>
      </c>
      <c r="T6">
        <v>0.9</v>
      </c>
      <c r="U6">
        <v>0.3</v>
      </c>
    </row>
    <row r="7" spans="1:23" x14ac:dyDescent="0.2">
      <c r="A7" s="4"/>
      <c r="B7" s="11" t="s">
        <v>119</v>
      </c>
      <c r="D7" s="160"/>
      <c r="E7" s="11"/>
      <c r="F7" s="11"/>
      <c r="G7" s="11"/>
      <c r="H7" s="11"/>
      <c r="I7" s="5"/>
      <c r="J7" s="5"/>
      <c r="K7" s="5"/>
      <c r="L7" s="5"/>
      <c r="M7" s="5"/>
      <c r="N7" s="5"/>
      <c r="O7" s="5"/>
      <c r="P7" s="9"/>
      <c r="R7" t="s">
        <v>32</v>
      </c>
      <c r="T7">
        <v>0.9</v>
      </c>
      <c r="U7">
        <v>0.3</v>
      </c>
    </row>
    <row r="8" spans="1:23" x14ac:dyDescent="0.2">
      <c r="A8" s="4"/>
      <c r="B8" s="11" t="s">
        <v>2</v>
      </c>
      <c r="D8" s="160"/>
      <c r="E8" s="11"/>
      <c r="F8" s="11"/>
      <c r="G8" s="11"/>
      <c r="H8" s="11"/>
      <c r="I8" s="5"/>
      <c r="J8" s="5"/>
      <c r="K8" s="5"/>
      <c r="L8" s="5"/>
      <c r="M8" s="5"/>
      <c r="N8" s="5"/>
      <c r="O8" s="5"/>
      <c r="P8" s="9"/>
      <c r="R8" t="s">
        <v>26</v>
      </c>
      <c r="T8">
        <v>0.8</v>
      </c>
      <c r="U8">
        <v>0.3</v>
      </c>
    </row>
    <row r="9" spans="1:23" ht="13.5" thickBot="1" x14ac:dyDescent="0.25">
      <c r="A9" s="6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10"/>
      <c r="R9" t="s">
        <v>33</v>
      </c>
      <c r="U9">
        <v>5</v>
      </c>
    </row>
    <row r="10" spans="1:23" ht="13.5" thickBo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R10" t="s">
        <v>34</v>
      </c>
      <c r="U10">
        <v>4</v>
      </c>
    </row>
    <row r="11" spans="1:23" ht="13.5" thickBot="1" x14ac:dyDescent="0.25">
      <c r="A11" s="16" t="s">
        <v>79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36"/>
      <c r="N11" s="36"/>
      <c r="O11" s="36"/>
      <c r="P11" s="37"/>
      <c r="R11" t="s">
        <v>35</v>
      </c>
      <c r="U11">
        <v>4</v>
      </c>
    </row>
    <row r="12" spans="1:23" ht="13.5" thickBot="1" x14ac:dyDescent="0.25">
      <c r="L12" s="25"/>
      <c r="M12" s="25"/>
      <c r="N12" s="25"/>
      <c r="R12" s="67" t="s">
        <v>120</v>
      </c>
      <c r="U12">
        <v>3.5</v>
      </c>
    </row>
    <row r="13" spans="1:23" x14ac:dyDescent="0.2">
      <c r="A13" s="15" t="s">
        <v>86</v>
      </c>
      <c r="B13" s="13"/>
      <c r="C13" s="12"/>
      <c r="D13" s="13"/>
      <c r="E13" s="13"/>
      <c r="F13" s="13"/>
      <c r="G13" s="14"/>
      <c r="H13" s="15" t="s">
        <v>106</v>
      </c>
      <c r="I13" s="12"/>
      <c r="J13" s="12"/>
      <c r="K13" s="12"/>
      <c r="L13" s="12"/>
      <c r="M13" s="12"/>
      <c r="N13" s="12"/>
      <c r="O13" s="12"/>
      <c r="P13" s="14"/>
      <c r="R13" s="67" t="s">
        <v>121</v>
      </c>
      <c r="U13">
        <v>4</v>
      </c>
    </row>
    <row r="14" spans="1:23" x14ac:dyDescent="0.2">
      <c r="A14" s="4"/>
      <c r="B14" s="5"/>
      <c r="C14" s="5"/>
      <c r="D14" s="5"/>
      <c r="E14" s="5"/>
      <c r="F14" s="5"/>
      <c r="G14" s="9"/>
      <c r="H14" s="4"/>
      <c r="I14" s="5"/>
      <c r="J14" s="5"/>
      <c r="K14" s="5"/>
      <c r="L14" s="5"/>
      <c r="M14" s="5"/>
      <c r="N14" s="5"/>
      <c r="O14" s="5"/>
      <c r="P14" s="9"/>
    </row>
    <row r="15" spans="1:23" x14ac:dyDescent="0.2">
      <c r="A15" s="4"/>
      <c r="B15" s="92" t="s">
        <v>87</v>
      </c>
      <c r="C15" s="5"/>
      <c r="D15" s="5"/>
      <c r="E15" s="5"/>
      <c r="F15" s="5"/>
      <c r="G15" s="9"/>
      <c r="H15" s="4"/>
      <c r="I15" s="5"/>
      <c r="J15" s="5"/>
      <c r="K15" s="5"/>
      <c r="L15" s="5"/>
      <c r="M15" s="5"/>
      <c r="N15" s="5"/>
      <c r="O15" s="5"/>
      <c r="P15" s="9"/>
    </row>
    <row r="16" spans="1:23" x14ac:dyDescent="0.2">
      <c r="A16" s="4"/>
      <c r="B16" s="92" t="s">
        <v>88</v>
      </c>
      <c r="C16" s="5"/>
      <c r="D16" s="5"/>
      <c r="E16" s="5"/>
      <c r="F16" s="5"/>
      <c r="G16" s="9"/>
      <c r="H16" s="4"/>
      <c r="I16" s="5"/>
      <c r="J16" s="5"/>
      <c r="K16" s="5"/>
      <c r="L16" s="5"/>
      <c r="M16" s="5"/>
      <c r="N16" s="5"/>
      <c r="O16" s="5"/>
      <c r="P16" s="9"/>
    </row>
    <row r="17" spans="1:102" ht="12.75" customHeight="1" x14ac:dyDescent="0.2">
      <c r="A17" s="4"/>
      <c r="B17" s="92" t="s">
        <v>92</v>
      </c>
      <c r="C17" s="5"/>
      <c r="D17" s="5"/>
      <c r="E17" s="5"/>
      <c r="F17" s="5"/>
      <c r="G17" s="9"/>
      <c r="H17" s="4"/>
      <c r="I17" s="5"/>
      <c r="J17" s="5"/>
      <c r="K17" s="126" t="s">
        <v>107</v>
      </c>
      <c r="L17" s="5"/>
      <c r="M17" s="126" t="s">
        <v>108</v>
      </c>
      <c r="N17" s="5"/>
      <c r="O17" s="5"/>
      <c r="P17" s="9"/>
    </row>
    <row r="18" spans="1:102" ht="12.75" customHeight="1" x14ac:dyDescent="0.2">
      <c r="A18" s="4"/>
      <c r="B18" s="5"/>
      <c r="C18" s="5"/>
      <c r="D18" s="5"/>
      <c r="E18" s="5"/>
      <c r="F18" s="5"/>
      <c r="G18" s="9"/>
      <c r="H18" s="4"/>
      <c r="I18" s="5"/>
      <c r="J18" s="5"/>
      <c r="K18" s="5"/>
      <c r="L18" s="5"/>
      <c r="M18" s="5"/>
      <c r="N18" s="5"/>
      <c r="O18" s="5"/>
      <c r="P18" s="9"/>
    </row>
    <row r="19" spans="1:102" ht="12.75" customHeight="1" x14ac:dyDescent="0.2">
      <c r="A19" s="4"/>
      <c r="B19" s="5"/>
      <c r="C19" s="5"/>
      <c r="D19" s="5"/>
      <c r="E19" s="5"/>
      <c r="F19" s="5"/>
      <c r="G19" s="9"/>
      <c r="H19" s="4"/>
      <c r="I19" s="5"/>
      <c r="J19" s="5"/>
      <c r="K19" s="5"/>
      <c r="L19" s="5"/>
      <c r="M19" s="5"/>
      <c r="N19" s="5"/>
      <c r="O19" s="5"/>
      <c r="P19" s="9"/>
    </row>
    <row r="20" spans="1:102" ht="12.75" customHeight="1" x14ac:dyDescent="0.2">
      <c r="A20" s="4"/>
      <c r="B20" s="5"/>
      <c r="C20" s="5"/>
      <c r="D20" s="5"/>
      <c r="E20" s="5"/>
      <c r="F20" s="5"/>
      <c r="G20" s="9"/>
      <c r="H20" s="127"/>
      <c r="I20" s="125"/>
      <c r="J20" s="125"/>
      <c r="K20" s="125"/>
      <c r="L20" s="125"/>
      <c r="M20" s="125"/>
      <c r="N20" s="125"/>
      <c r="O20" s="125"/>
      <c r="P20" s="18"/>
    </row>
    <row r="21" spans="1:102" ht="12.75" customHeight="1" x14ac:dyDescent="0.2">
      <c r="A21" s="4"/>
      <c r="B21" s="5"/>
      <c r="C21" s="5"/>
      <c r="D21" s="5"/>
      <c r="E21" s="5"/>
      <c r="F21" s="5"/>
      <c r="G21" s="9"/>
      <c r="H21" s="4"/>
      <c r="I21" s="5"/>
      <c r="J21" s="123" t="s">
        <v>89</v>
      </c>
      <c r="K21" s="124"/>
      <c r="L21" s="124"/>
      <c r="M21" s="124"/>
      <c r="N21" s="124"/>
      <c r="O21" s="107"/>
      <c r="P21" s="9"/>
    </row>
    <row r="22" spans="1:102" ht="12.75" customHeight="1" thickBot="1" x14ac:dyDescent="0.25">
      <c r="A22" s="6"/>
      <c r="B22" s="7"/>
      <c r="C22" s="7"/>
      <c r="D22" s="7"/>
      <c r="E22" s="7"/>
      <c r="F22" s="7"/>
      <c r="G22" s="10"/>
      <c r="H22" s="4"/>
      <c r="I22" s="92"/>
      <c r="J22" s="123" t="s">
        <v>20</v>
      </c>
      <c r="K22" s="124"/>
      <c r="L22" s="124"/>
      <c r="M22" s="123" t="s">
        <v>21</v>
      </c>
      <c r="N22" s="124"/>
      <c r="O22" s="107"/>
      <c r="P22" s="9"/>
    </row>
    <row r="23" spans="1:102" ht="12.75" customHeight="1" x14ac:dyDescent="0.2">
      <c r="A23" s="15" t="s">
        <v>98</v>
      </c>
      <c r="B23" s="13"/>
      <c r="C23" s="12"/>
      <c r="D23" s="13"/>
      <c r="E23" s="13"/>
      <c r="F23" s="13"/>
      <c r="G23" s="14"/>
      <c r="H23" s="4"/>
      <c r="I23" s="103"/>
      <c r="J23" s="95"/>
      <c r="K23" s="5"/>
      <c r="L23" s="5"/>
      <c r="M23" s="95"/>
      <c r="N23" s="5"/>
      <c r="O23" s="96"/>
      <c r="P23" s="9"/>
    </row>
    <row r="24" spans="1:102" ht="12.75" customHeight="1" x14ac:dyDescent="0.2">
      <c r="A24" s="4"/>
      <c r="B24" s="5"/>
      <c r="C24" s="5"/>
      <c r="D24" s="5"/>
      <c r="E24" s="5"/>
      <c r="F24" s="5"/>
      <c r="G24" s="9"/>
      <c r="H24" s="4"/>
      <c r="I24" s="104" t="s">
        <v>90</v>
      </c>
      <c r="J24" s="95"/>
      <c r="K24" s="5"/>
      <c r="L24" s="5"/>
      <c r="M24" s="95"/>
      <c r="N24" s="5"/>
      <c r="O24" s="96"/>
      <c r="P24" s="9"/>
    </row>
    <row r="25" spans="1:102" ht="12.75" customHeight="1" x14ac:dyDescent="0.2">
      <c r="A25" s="113" t="s">
        <v>29</v>
      </c>
      <c r="B25" s="5"/>
      <c r="C25" s="5"/>
      <c r="D25" s="5"/>
      <c r="E25" s="5"/>
      <c r="F25" s="5"/>
      <c r="G25" s="9"/>
      <c r="H25" s="4"/>
      <c r="I25" s="106"/>
      <c r="J25" s="95"/>
      <c r="K25" s="5"/>
      <c r="L25" s="5"/>
      <c r="M25" s="95"/>
      <c r="N25" s="5"/>
      <c r="O25" s="96"/>
      <c r="P25" s="9"/>
    </row>
    <row r="26" spans="1:102" ht="12.75" customHeight="1" x14ac:dyDescent="0.2">
      <c r="A26" s="4" t="s">
        <v>15</v>
      </c>
      <c r="B26" s="149">
        <v>650</v>
      </c>
      <c r="C26" s="150">
        <v>700</v>
      </c>
      <c r="D26" s="150">
        <v>750</v>
      </c>
      <c r="E26" s="151">
        <v>800</v>
      </c>
      <c r="F26" s="151">
        <v>850</v>
      </c>
      <c r="G26" s="152">
        <v>900</v>
      </c>
      <c r="H26" s="4"/>
      <c r="I26" s="104"/>
      <c r="J26" s="100"/>
      <c r="K26" s="101"/>
      <c r="L26" s="101"/>
      <c r="M26" s="100"/>
      <c r="N26" s="101"/>
      <c r="O26" s="102"/>
      <c r="P26" s="9"/>
    </row>
    <row r="27" spans="1:102" ht="12.75" customHeight="1" x14ac:dyDescent="0.2">
      <c r="A27" s="4"/>
      <c r="B27" s="109"/>
      <c r="C27" s="110"/>
      <c r="D27" s="110"/>
      <c r="E27" s="111"/>
      <c r="F27" s="112"/>
      <c r="G27" s="114"/>
      <c r="H27" s="4"/>
      <c r="I27" s="104" t="s">
        <v>91</v>
      </c>
      <c r="J27" s="95"/>
      <c r="K27" s="5"/>
      <c r="L27" s="5"/>
      <c r="M27" s="95"/>
      <c r="N27" s="5"/>
      <c r="O27" s="96"/>
      <c r="P27" s="9"/>
    </row>
    <row r="28" spans="1:102" ht="12.75" customHeight="1" x14ac:dyDescent="0.2">
      <c r="A28" s="115" t="s">
        <v>94</v>
      </c>
      <c r="B28" s="48"/>
      <c r="C28" s="11"/>
      <c r="D28" s="5"/>
      <c r="E28" s="11"/>
      <c r="F28" s="5"/>
      <c r="G28" s="9"/>
      <c r="H28" s="4"/>
      <c r="I28" s="105"/>
      <c r="J28" s="97"/>
      <c r="K28" s="98"/>
      <c r="L28" s="98"/>
      <c r="M28" s="97"/>
      <c r="N28" s="98"/>
      <c r="O28" s="99"/>
      <c r="P28" s="9"/>
    </row>
    <row r="29" spans="1:102" ht="12.75" customHeight="1" thickBot="1" x14ac:dyDescent="0.25">
      <c r="A29" s="108" t="s">
        <v>95</v>
      </c>
      <c r="B29" s="89" t="s">
        <v>97</v>
      </c>
      <c r="C29" s="149">
        <v>15</v>
      </c>
      <c r="D29" s="48" t="s">
        <v>11</v>
      </c>
      <c r="E29" s="5"/>
      <c r="F29" s="5"/>
      <c r="G29" s="9"/>
      <c r="H29" s="6"/>
      <c r="I29" s="7"/>
      <c r="J29" s="7"/>
      <c r="K29" s="7"/>
      <c r="L29" s="7"/>
      <c r="M29" s="7"/>
      <c r="N29" s="7"/>
      <c r="O29" s="7"/>
      <c r="P29" s="10"/>
    </row>
    <row r="30" spans="1:102" ht="12.75" customHeight="1" x14ac:dyDescent="0.2">
      <c r="A30" s="108" t="s">
        <v>93</v>
      </c>
      <c r="B30" s="5"/>
      <c r="C30" s="149">
        <v>0.5</v>
      </c>
      <c r="D30" s="89" t="s">
        <v>11</v>
      </c>
      <c r="E30" s="5"/>
      <c r="F30" s="5"/>
      <c r="G30" s="9"/>
      <c r="H30" s="15" t="s">
        <v>48</v>
      </c>
      <c r="I30" s="13"/>
      <c r="J30" s="12"/>
      <c r="K30" s="13"/>
      <c r="L30" s="13"/>
      <c r="M30" s="13"/>
      <c r="N30" s="12"/>
      <c r="O30" s="13"/>
      <c r="P30" s="14"/>
    </row>
    <row r="31" spans="1:102" ht="12.75" customHeight="1" x14ac:dyDescent="0.2">
      <c r="A31" s="108" t="s">
        <v>96</v>
      </c>
      <c r="B31" s="89" t="s">
        <v>97</v>
      </c>
      <c r="C31" s="5">
        <f>C29+C30*14</f>
        <v>22</v>
      </c>
      <c r="D31" s="89" t="s">
        <v>11</v>
      </c>
      <c r="E31" s="5"/>
      <c r="F31" s="5"/>
      <c r="G31" s="9"/>
      <c r="H31" s="4"/>
      <c r="I31" s="5"/>
      <c r="J31" s="5"/>
      <c r="K31" s="5"/>
      <c r="L31" s="5"/>
      <c r="M31" s="5"/>
      <c r="N31" s="5"/>
      <c r="O31" s="5"/>
      <c r="P31" s="9"/>
      <c r="Q31" s="5"/>
      <c r="R31" s="5"/>
    </row>
    <row r="32" spans="1:102" ht="12.75" customHeight="1" x14ac:dyDescent="0.2">
      <c r="A32" s="108"/>
      <c r="B32" s="89"/>
      <c r="C32" s="5"/>
      <c r="D32" s="5"/>
      <c r="E32" s="5"/>
      <c r="F32" s="5"/>
      <c r="G32" s="9"/>
      <c r="H32" s="4"/>
      <c r="I32" s="5"/>
      <c r="J32" s="5"/>
      <c r="K32" s="5"/>
      <c r="L32" s="5"/>
      <c r="M32" s="5"/>
      <c r="N32" s="5"/>
      <c r="O32" s="5"/>
      <c r="P32" s="9"/>
      <c r="Q32" s="5"/>
      <c r="R32" s="5"/>
      <c r="AA32" t="s">
        <v>50</v>
      </c>
      <c r="AP32" t="s">
        <v>50</v>
      </c>
      <c r="BE32" t="s">
        <v>50</v>
      </c>
      <c r="BT32" t="s">
        <v>50</v>
      </c>
      <c r="CI32" t="s">
        <v>50</v>
      </c>
      <c r="CX32" t="s">
        <v>50</v>
      </c>
    </row>
    <row r="33" spans="1:116" ht="12.75" customHeight="1" x14ac:dyDescent="0.2">
      <c r="A33" s="115" t="s">
        <v>22</v>
      </c>
      <c r="B33" s="33"/>
      <c r="C33" s="5"/>
      <c r="D33" s="138" t="s">
        <v>37</v>
      </c>
      <c r="E33" s="139"/>
      <c r="F33" s="20"/>
      <c r="G33" s="9"/>
      <c r="H33" s="4"/>
      <c r="I33" s="5"/>
      <c r="J33" s="5"/>
      <c r="K33" s="5"/>
      <c r="L33" s="5"/>
      <c r="M33" s="5"/>
      <c r="N33" s="5"/>
      <c r="O33" s="5"/>
      <c r="P33" s="9"/>
      <c r="Q33" s="5"/>
      <c r="R33" s="5"/>
      <c r="AA33">
        <f>B26</f>
        <v>650</v>
      </c>
      <c r="AP33" s="49">
        <f>C26</f>
        <v>700</v>
      </c>
      <c r="BE33" s="49">
        <f>D26</f>
        <v>750</v>
      </c>
      <c r="BT33" s="49">
        <f>E26</f>
        <v>800</v>
      </c>
      <c r="CI33" s="49">
        <f>F26</f>
        <v>850</v>
      </c>
      <c r="CX33" s="49">
        <f>G26</f>
        <v>900</v>
      </c>
    </row>
    <row r="34" spans="1:116" ht="12.75" customHeight="1" x14ac:dyDescent="0.25">
      <c r="A34" s="166" t="s">
        <v>41</v>
      </c>
      <c r="B34" s="167"/>
      <c r="C34" s="167"/>
      <c r="D34" s="138" t="s">
        <v>109</v>
      </c>
      <c r="E34" s="139">
        <f>VLOOKUP(A34,R2:S3,2,0)</f>
        <v>0.75</v>
      </c>
      <c r="F34" s="20"/>
      <c r="G34" s="9"/>
      <c r="H34" s="4"/>
      <c r="I34" s="5"/>
      <c r="J34" s="5"/>
      <c r="K34" s="5"/>
      <c r="L34" s="5"/>
      <c r="M34" s="5"/>
      <c r="N34" s="5"/>
      <c r="O34" s="5"/>
      <c r="P34" s="9"/>
      <c r="Q34" s="5"/>
      <c r="R34" s="5"/>
      <c r="AA34" t="s">
        <v>51</v>
      </c>
      <c r="AP34" t="s">
        <v>51</v>
      </c>
      <c r="BE34" t="s">
        <v>51</v>
      </c>
      <c r="BT34" t="s">
        <v>51</v>
      </c>
      <c r="CI34" t="s">
        <v>51</v>
      </c>
      <c r="CX34" t="s">
        <v>51</v>
      </c>
    </row>
    <row r="35" spans="1:116" ht="12.75" customHeight="1" x14ac:dyDescent="0.2">
      <c r="A35" s="179" t="s">
        <v>33</v>
      </c>
      <c r="B35" s="180"/>
      <c r="C35" s="180"/>
      <c r="D35" s="94" t="s">
        <v>39</v>
      </c>
      <c r="E35" s="94"/>
      <c r="F35" s="5"/>
      <c r="G35" s="9"/>
      <c r="H35" s="4"/>
      <c r="I35" s="5"/>
      <c r="J35" s="5"/>
      <c r="K35" s="5"/>
      <c r="L35" s="5"/>
      <c r="M35" s="5"/>
      <c r="N35" s="5"/>
      <c r="O35" s="5"/>
      <c r="P35" s="9"/>
      <c r="R35" s="5"/>
      <c r="AA35" s="23">
        <f>$B76</f>
        <v>15</v>
      </c>
      <c r="AB35" s="23">
        <f>$B77</f>
        <v>15.5</v>
      </c>
      <c r="AC35" s="23">
        <f>$B78</f>
        <v>16</v>
      </c>
      <c r="AD35" s="23">
        <f>$B79</f>
        <v>16.5</v>
      </c>
      <c r="AE35" s="23">
        <f>$B80</f>
        <v>17</v>
      </c>
      <c r="AF35" s="23">
        <f>$B81</f>
        <v>17.5</v>
      </c>
      <c r="AG35" s="23">
        <f>$B82</f>
        <v>18</v>
      </c>
      <c r="AH35" s="23">
        <f>$B83</f>
        <v>18.5</v>
      </c>
      <c r="AI35" s="23">
        <f>$B84</f>
        <v>19</v>
      </c>
      <c r="AJ35" s="23">
        <f>$B85</f>
        <v>19.5</v>
      </c>
      <c r="AK35" s="23">
        <f>$B86</f>
        <v>20</v>
      </c>
      <c r="AL35" s="23">
        <f>$B87</f>
        <v>20.5</v>
      </c>
      <c r="AM35" s="23">
        <f>$B88</f>
        <v>21</v>
      </c>
      <c r="AN35" s="23">
        <f>$B89</f>
        <v>21.5</v>
      </c>
      <c r="AO35" s="23">
        <f>$B90</f>
        <v>22</v>
      </c>
      <c r="AP35" s="23">
        <f>$B76</f>
        <v>15</v>
      </c>
      <c r="AQ35" s="23">
        <f>$B77</f>
        <v>15.5</v>
      </c>
      <c r="AR35" s="23">
        <f>$B78</f>
        <v>16</v>
      </c>
      <c r="AS35" s="23">
        <f>$B79</f>
        <v>16.5</v>
      </c>
      <c r="AT35" s="23">
        <f>$B80</f>
        <v>17</v>
      </c>
      <c r="AU35" s="23">
        <f>$B81</f>
        <v>17.5</v>
      </c>
      <c r="AV35" s="23">
        <f>$B82</f>
        <v>18</v>
      </c>
      <c r="AW35" s="23">
        <f>$B83</f>
        <v>18.5</v>
      </c>
      <c r="AX35" s="23">
        <f>$B84</f>
        <v>19</v>
      </c>
      <c r="AY35" s="23">
        <f>$B85</f>
        <v>19.5</v>
      </c>
      <c r="AZ35" s="23">
        <f>$B86</f>
        <v>20</v>
      </c>
      <c r="BA35" s="23">
        <f>$B87</f>
        <v>20.5</v>
      </c>
      <c r="BB35" s="23">
        <f>$B88</f>
        <v>21</v>
      </c>
      <c r="BC35" s="23">
        <f>$B89</f>
        <v>21.5</v>
      </c>
      <c r="BD35" s="23">
        <f>$B90</f>
        <v>22</v>
      </c>
      <c r="BE35" s="23">
        <f>$B76</f>
        <v>15</v>
      </c>
      <c r="BF35" s="23">
        <f>$B77</f>
        <v>15.5</v>
      </c>
      <c r="BG35" s="23">
        <f>$B78</f>
        <v>16</v>
      </c>
      <c r="BH35" s="23">
        <f>$B79</f>
        <v>16.5</v>
      </c>
      <c r="BI35" s="23">
        <f>$B80</f>
        <v>17</v>
      </c>
      <c r="BJ35" s="23">
        <f>$B81</f>
        <v>17.5</v>
      </c>
      <c r="BK35" s="23">
        <f>$B82</f>
        <v>18</v>
      </c>
      <c r="BL35" s="23">
        <f>$B83</f>
        <v>18.5</v>
      </c>
      <c r="BM35" s="23">
        <f>$B84</f>
        <v>19</v>
      </c>
      <c r="BN35" s="23">
        <f>$B85</f>
        <v>19.5</v>
      </c>
      <c r="BO35" s="23">
        <f>$B86</f>
        <v>20</v>
      </c>
      <c r="BP35" s="23">
        <f>$B87</f>
        <v>20.5</v>
      </c>
      <c r="BQ35" s="23">
        <f>$B88</f>
        <v>21</v>
      </c>
      <c r="BR35" s="23">
        <f>$B89</f>
        <v>21.5</v>
      </c>
      <c r="BS35" s="23">
        <f>$B90</f>
        <v>22</v>
      </c>
      <c r="BT35" s="23">
        <f>$B76</f>
        <v>15</v>
      </c>
      <c r="BU35" s="23">
        <f>$B77</f>
        <v>15.5</v>
      </c>
      <c r="BV35" s="23">
        <f>$B78</f>
        <v>16</v>
      </c>
      <c r="BW35" s="23">
        <f>$B79</f>
        <v>16.5</v>
      </c>
      <c r="BX35" s="23">
        <f>$B80</f>
        <v>17</v>
      </c>
      <c r="BY35" s="23">
        <f>$B81</f>
        <v>17.5</v>
      </c>
      <c r="BZ35" s="23">
        <f>$B82</f>
        <v>18</v>
      </c>
      <c r="CA35" s="23">
        <f>$B83</f>
        <v>18.5</v>
      </c>
      <c r="CB35" s="23">
        <f>$B84</f>
        <v>19</v>
      </c>
      <c r="CC35" s="23">
        <f>$B85</f>
        <v>19.5</v>
      </c>
      <c r="CD35" s="23">
        <f>$B86</f>
        <v>20</v>
      </c>
      <c r="CE35" s="23">
        <f>$B87</f>
        <v>20.5</v>
      </c>
      <c r="CF35" s="23">
        <f>$B88</f>
        <v>21</v>
      </c>
      <c r="CG35" s="23">
        <f>$B89</f>
        <v>21.5</v>
      </c>
      <c r="CH35" s="23">
        <f>$B90</f>
        <v>22</v>
      </c>
      <c r="CI35" s="23">
        <f>$B76</f>
        <v>15</v>
      </c>
      <c r="CJ35" s="23">
        <f>$B77</f>
        <v>15.5</v>
      </c>
      <c r="CK35" s="23">
        <f>$B78</f>
        <v>16</v>
      </c>
      <c r="CL35" s="23">
        <f>$B79</f>
        <v>16.5</v>
      </c>
      <c r="CM35" s="23">
        <f>$B80</f>
        <v>17</v>
      </c>
      <c r="CN35" s="23">
        <f>$B81</f>
        <v>17.5</v>
      </c>
      <c r="CO35" s="23">
        <f>$B82</f>
        <v>18</v>
      </c>
      <c r="CP35" s="23">
        <f>$B83</f>
        <v>18.5</v>
      </c>
      <c r="CQ35" s="23">
        <f>$B84</f>
        <v>19</v>
      </c>
      <c r="CR35" s="23">
        <f>$B85</f>
        <v>19.5</v>
      </c>
      <c r="CS35" s="23">
        <f>$B86</f>
        <v>20</v>
      </c>
      <c r="CT35" s="23">
        <f>$B87</f>
        <v>20.5</v>
      </c>
      <c r="CU35" s="23">
        <f>$B88</f>
        <v>21</v>
      </c>
      <c r="CV35" s="23">
        <f>$B89</f>
        <v>21.5</v>
      </c>
      <c r="CW35" s="23">
        <f>$B90</f>
        <v>22</v>
      </c>
      <c r="CX35" s="23">
        <f>$B76</f>
        <v>15</v>
      </c>
      <c r="CY35" s="23">
        <f>$B77</f>
        <v>15.5</v>
      </c>
      <c r="CZ35" s="23">
        <f>$B78</f>
        <v>16</v>
      </c>
      <c r="DA35" s="23">
        <f>$B79</f>
        <v>16.5</v>
      </c>
      <c r="DB35" s="23">
        <f>$B80</f>
        <v>17</v>
      </c>
      <c r="DC35" s="23">
        <f>$B81</f>
        <v>17.5</v>
      </c>
      <c r="DD35" s="23">
        <f>$B82</f>
        <v>18</v>
      </c>
      <c r="DE35" s="23">
        <f>$B83</f>
        <v>18.5</v>
      </c>
      <c r="DF35" s="23">
        <f>$B84</f>
        <v>19</v>
      </c>
      <c r="DG35" s="23">
        <f>$B85</f>
        <v>19.5</v>
      </c>
      <c r="DH35" s="23">
        <f>$B86</f>
        <v>20</v>
      </c>
      <c r="DI35" s="23">
        <f>$B87</f>
        <v>20.5</v>
      </c>
      <c r="DJ35" s="23">
        <f>$B88</f>
        <v>21</v>
      </c>
      <c r="DK35" s="23">
        <f>$B89</f>
        <v>21.5</v>
      </c>
      <c r="DL35" s="23">
        <f>$B90</f>
        <v>22</v>
      </c>
    </row>
    <row r="36" spans="1:116" ht="12.75" customHeight="1" x14ac:dyDescent="0.2">
      <c r="A36" s="4"/>
      <c r="B36" s="5"/>
      <c r="C36" s="5"/>
      <c r="D36" s="117" t="s">
        <v>40</v>
      </c>
      <c r="E36" s="94">
        <f>IF(A34=R3,T3,VLOOKUP(A35,R5:T8,3,0))</f>
        <v>1</v>
      </c>
      <c r="F36" s="5"/>
      <c r="G36" s="9"/>
      <c r="H36" s="4"/>
      <c r="I36" s="5"/>
      <c r="J36" s="5"/>
      <c r="K36" s="5"/>
      <c r="L36" s="5"/>
      <c r="M36" s="5"/>
      <c r="N36" s="5"/>
      <c r="O36" s="5"/>
      <c r="P36" s="9"/>
      <c r="Z36" t="s">
        <v>76</v>
      </c>
      <c r="AA36">
        <f>AA$35-6*$AA$33/1000</f>
        <v>11.1</v>
      </c>
      <c r="AB36">
        <f t="shared" ref="AB36:AO36" si="0">AB$35-6*$AA$33/1000</f>
        <v>11.6</v>
      </c>
      <c r="AC36">
        <f t="shared" si="0"/>
        <v>12.1</v>
      </c>
      <c r="AD36">
        <f t="shared" si="0"/>
        <v>12.6</v>
      </c>
      <c r="AE36">
        <f t="shared" si="0"/>
        <v>13.1</v>
      </c>
      <c r="AF36">
        <f t="shared" si="0"/>
        <v>13.6</v>
      </c>
      <c r="AG36">
        <f t="shared" si="0"/>
        <v>14.1</v>
      </c>
      <c r="AH36">
        <f t="shared" si="0"/>
        <v>14.6</v>
      </c>
      <c r="AI36">
        <f t="shared" si="0"/>
        <v>15.1</v>
      </c>
      <c r="AJ36">
        <f t="shared" si="0"/>
        <v>15.6</v>
      </c>
      <c r="AK36">
        <f t="shared" si="0"/>
        <v>16.100000000000001</v>
      </c>
      <c r="AL36">
        <f t="shared" si="0"/>
        <v>16.600000000000001</v>
      </c>
      <c r="AM36">
        <f t="shared" si="0"/>
        <v>17.100000000000001</v>
      </c>
      <c r="AN36">
        <f t="shared" si="0"/>
        <v>17.600000000000001</v>
      </c>
      <c r="AO36">
        <f t="shared" si="0"/>
        <v>18.100000000000001</v>
      </c>
      <c r="AP36">
        <f>AP$35-6*$AP$33/1000</f>
        <v>10.8</v>
      </c>
      <c r="AQ36">
        <f t="shared" ref="AQ36:BD36" si="1">AQ$35-6*$AP$33/1000</f>
        <v>11.3</v>
      </c>
      <c r="AR36">
        <f t="shared" si="1"/>
        <v>11.8</v>
      </c>
      <c r="AS36">
        <f t="shared" si="1"/>
        <v>12.3</v>
      </c>
      <c r="AT36">
        <f t="shared" si="1"/>
        <v>12.8</v>
      </c>
      <c r="AU36">
        <f t="shared" si="1"/>
        <v>13.3</v>
      </c>
      <c r="AV36">
        <f t="shared" si="1"/>
        <v>13.8</v>
      </c>
      <c r="AW36">
        <f t="shared" si="1"/>
        <v>14.3</v>
      </c>
      <c r="AX36">
        <f t="shared" si="1"/>
        <v>14.8</v>
      </c>
      <c r="AY36">
        <f t="shared" si="1"/>
        <v>15.3</v>
      </c>
      <c r="AZ36">
        <f t="shared" si="1"/>
        <v>15.8</v>
      </c>
      <c r="BA36">
        <f t="shared" si="1"/>
        <v>16.3</v>
      </c>
      <c r="BB36">
        <f t="shared" si="1"/>
        <v>16.8</v>
      </c>
      <c r="BC36">
        <f t="shared" si="1"/>
        <v>17.3</v>
      </c>
      <c r="BD36">
        <f t="shared" si="1"/>
        <v>17.8</v>
      </c>
      <c r="BE36">
        <f>BE$35-6*$BE$33/1000</f>
        <v>10.5</v>
      </c>
      <c r="BF36">
        <f t="shared" ref="BF36:BS36" si="2">BF$35-6*$BE$33/1000</f>
        <v>11</v>
      </c>
      <c r="BG36">
        <f t="shared" si="2"/>
        <v>11.5</v>
      </c>
      <c r="BH36">
        <f t="shared" si="2"/>
        <v>12</v>
      </c>
      <c r="BI36">
        <f t="shared" si="2"/>
        <v>12.5</v>
      </c>
      <c r="BJ36">
        <f t="shared" si="2"/>
        <v>13</v>
      </c>
      <c r="BK36">
        <f t="shared" si="2"/>
        <v>13.5</v>
      </c>
      <c r="BL36">
        <f t="shared" si="2"/>
        <v>14</v>
      </c>
      <c r="BM36">
        <f t="shared" si="2"/>
        <v>14.5</v>
      </c>
      <c r="BN36">
        <f t="shared" si="2"/>
        <v>15</v>
      </c>
      <c r="BO36">
        <f t="shared" si="2"/>
        <v>15.5</v>
      </c>
      <c r="BP36">
        <f t="shared" si="2"/>
        <v>16</v>
      </c>
      <c r="BQ36">
        <f t="shared" si="2"/>
        <v>16.5</v>
      </c>
      <c r="BR36">
        <f t="shared" si="2"/>
        <v>17</v>
      </c>
      <c r="BS36">
        <f t="shared" si="2"/>
        <v>17.5</v>
      </c>
      <c r="BT36">
        <f>BT$35-6*$BT33/1000</f>
        <v>10.199999999999999</v>
      </c>
      <c r="BU36">
        <f t="shared" ref="BU36:CH36" si="3">BU$35-6*$BT33/1000</f>
        <v>10.7</v>
      </c>
      <c r="BV36">
        <f t="shared" si="3"/>
        <v>11.2</v>
      </c>
      <c r="BW36">
        <f t="shared" si="3"/>
        <v>11.7</v>
      </c>
      <c r="BX36">
        <f t="shared" si="3"/>
        <v>12.2</v>
      </c>
      <c r="BY36">
        <f t="shared" si="3"/>
        <v>12.7</v>
      </c>
      <c r="BZ36">
        <f t="shared" si="3"/>
        <v>13.2</v>
      </c>
      <c r="CA36">
        <f t="shared" si="3"/>
        <v>13.7</v>
      </c>
      <c r="CB36">
        <f t="shared" si="3"/>
        <v>14.2</v>
      </c>
      <c r="CC36">
        <f t="shared" si="3"/>
        <v>14.7</v>
      </c>
      <c r="CD36">
        <f t="shared" si="3"/>
        <v>15.2</v>
      </c>
      <c r="CE36">
        <f t="shared" si="3"/>
        <v>15.7</v>
      </c>
      <c r="CF36">
        <f t="shared" si="3"/>
        <v>16.2</v>
      </c>
      <c r="CG36">
        <f t="shared" si="3"/>
        <v>16.7</v>
      </c>
      <c r="CH36">
        <f t="shared" si="3"/>
        <v>17.2</v>
      </c>
      <c r="CI36">
        <f>CI$35-6*$CI$33/1000</f>
        <v>9.9</v>
      </c>
      <c r="CJ36">
        <f t="shared" ref="CJ36:CW36" si="4">CJ$35-6*$CI$33/1000</f>
        <v>10.4</v>
      </c>
      <c r="CK36">
        <f t="shared" si="4"/>
        <v>10.9</v>
      </c>
      <c r="CL36">
        <f t="shared" si="4"/>
        <v>11.4</v>
      </c>
      <c r="CM36">
        <f t="shared" si="4"/>
        <v>11.9</v>
      </c>
      <c r="CN36">
        <f t="shared" si="4"/>
        <v>12.4</v>
      </c>
      <c r="CO36">
        <f t="shared" si="4"/>
        <v>12.9</v>
      </c>
      <c r="CP36">
        <f t="shared" si="4"/>
        <v>13.4</v>
      </c>
      <c r="CQ36">
        <f t="shared" si="4"/>
        <v>13.9</v>
      </c>
      <c r="CR36">
        <f t="shared" si="4"/>
        <v>14.4</v>
      </c>
      <c r="CS36">
        <f t="shared" si="4"/>
        <v>14.9</v>
      </c>
      <c r="CT36">
        <f t="shared" si="4"/>
        <v>15.4</v>
      </c>
      <c r="CU36">
        <f t="shared" si="4"/>
        <v>15.9</v>
      </c>
      <c r="CV36">
        <f t="shared" si="4"/>
        <v>16.399999999999999</v>
      </c>
      <c r="CW36">
        <f t="shared" si="4"/>
        <v>16.899999999999999</v>
      </c>
      <c r="CX36">
        <f>CX$35-6*$CX$33/1000</f>
        <v>9.6</v>
      </c>
      <c r="CY36">
        <f t="shared" ref="CY36:DK36" si="5">CY$35-6*$CX$33/1000</f>
        <v>10.1</v>
      </c>
      <c r="CZ36">
        <f t="shared" si="5"/>
        <v>10.6</v>
      </c>
      <c r="DA36">
        <f t="shared" si="5"/>
        <v>11.1</v>
      </c>
      <c r="DB36">
        <f t="shared" si="5"/>
        <v>11.6</v>
      </c>
      <c r="DC36">
        <f t="shared" si="5"/>
        <v>12.1</v>
      </c>
      <c r="DD36">
        <f t="shared" si="5"/>
        <v>12.6</v>
      </c>
      <c r="DE36">
        <f t="shared" si="5"/>
        <v>13.1</v>
      </c>
      <c r="DF36">
        <f t="shared" si="5"/>
        <v>13.6</v>
      </c>
      <c r="DG36">
        <f t="shared" si="5"/>
        <v>14.1</v>
      </c>
      <c r="DH36">
        <f t="shared" si="5"/>
        <v>14.6</v>
      </c>
      <c r="DI36">
        <f t="shared" si="5"/>
        <v>15.1</v>
      </c>
      <c r="DJ36">
        <f t="shared" si="5"/>
        <v>15.6</v>
      </c>
      <c r="DK36">
        <f t="shared" si="5"/>
        <v>16.100000000000001</v>
      </c>
      <c r="DL36">
        <f>DL$35-6*$CX$33/1000</f>
        <v>16.600000000000001</v>
      </c>
    </row>
    <row r="37" spans="1:116" x14ac:dyDescent="0.2">
      <c r="A37" s="115" t="s">
        <v>36</v>
      </c>
      <c r="B37" s="5"/>
      <c r="C37" s="5"/>
      <c r="D37" s="19"/>
      <c r="E37" s="5"/>
      <c r="F37" s="5"/>
      <c r="G37" s="9"/>
      <c r="H37" s="4"/>
      <c r="I37" s="5"/>
      <c r="J37" s="5"/>
      <c r="K37" s="5"/>
      <c r="L37" s="5"/>
      <c r="M37" s="5"/>
      <c r="N37" s="5"/>
      <c r="O37" s="5"/>
      <c r="P37" s="9"/>
      <c r="Z37" t="s">
        <v>75</v>
      </c>
      <c r="AA37">
        <f t="shared" ref="AA37:AO37" si="6">AA$35+3*$AA$33/1000</f>
        <v>16.95</v>
      </c>
      <c r="AB37">
        <f t="shared" si="6"/>
        <v>17.45</v>
      </c>
      <c r="AC37">
        <f t="shared" si="6"/>
        <v>17.95</v>
      </c>
      <c r="AD37">
        <f t="shared" si="6"/>
        <v>18.45</v>
      </c>
      <c r="AE37">
        <f t="shared" si="6"/>
        <v>18.95</v>
      </c>
      <c r="AF37">
        <f t="shared" si="6"/>
        <v>19.45</v>
      </c>
      <c r="AG37">
        <f t="shared" si="6"/>
        <v>19.95</v>
      </c>
      <c r="AH37">
        <f t="shared" si="6"/>
        <v>20.45</v>
      </c>
      <c r="AI37">
        <f t="shared" si="6"/>
        <v>20.95</v>
      </c>
      <c r="AJ37">
        <f t="shared" si="6"/>
        <v>21.45</v>
      </c>
      <c r="AK37">
        <f t="shared" si="6"/>
        <v>21.95</v>
      </c>
      <c r="AL37">
        <f t="shared" si="6"/>
        <v>22.45</v>
      </c>
      <c r="AM37">
        <f t="shared" si="6"/>
        <v>22.95</v>
      </c>
      <c r="AN37">
        <f t="shared" si="6"/>
        <v>23.45</v>
      </c>
      <c r="AO37">
        <f t="shared" si="6"/>
        <v>23.95</v>
      </c>
      <c r="AP37">
        <f>AP$35+3*$AP$33/1000</f>
        <v>17.100000000000001</v>
      </c>
      <c r="AQ37">
        <f t="shared" ref="AQ37:BD37" si="7">AQ$35+3*$AP$33/1000</f>
        <v>17.600000000000001</v>
      </c>
      <c r="AR37">
        <f t="shared" si="7"/>
        <v>18.100000000000001</v>
      </c>
      <c r="AS37">
        <f t="shared" si="7"/>
        <v>18.600000000000001</v>
      </c>
      <c r="AT37">
        <f t="shared" si="7"/>
        <v>19.100000000000001</v>
      </c>
      <c r="AU37">
        <f t="shared" si="7"/>
        <v>19.600000000000001</v>
      </c>
      <c r="AV37">
        <f t="shared" si="7"/>
        <v>20.100000000000001</v>
      </c>
      <c r="AW37">
        <f t="shared" si="7"/>
        <v>20.6</v>
      </c>
      <c r="AX37">
        <f t="shared" si="7"/>
        <v>21.1</v>
      </c>
      <c r="AY37">
        <f t="shared" si="7"/>
        <v>21.6</v>
      </c>
      <c r="AZ37">
        <f t="shared" si="7"/>
        <v>22.1</v>
      </c>
      <c r="BA37">
        <f t="shared" si="7"/>
        <v>22.6</v>
      </c>
      <c r="BB37">
        <f t="shared" si="7"/>
        <v>23.1</v>
      </c>
      <c r="BC37">
        <f t="shared" si="7"/>
        <v>23.6</v>
      </c>
      <c r="BD37">
        <f t="shared" si="7"/>
        <v>24.1</v>
      </c>
      <c r="BE37">
        <f>BE$35+3*$BE$33/1000</f>
        <v>17.25</v>
      </c>
      <c r="BF37">
        <f t="shared" ref="BF37:BS37" si="8">BF$35+3*$BE$33/1000</f>
        <v>17.75</v>
      </c>
      <c r="BG37">
        <f t="shared" si="8"/>
        <v>18.25</v>
      </c>
      <c r="BH37">
        <f t="shared" si="8"/>
        <v>18.75</v>
      </c>
      <c r="BI37">
        <f t="shared" si="8"/>
        <v>19.25</v>
      </c>
      <c r="BJ37">
        <f t="shared" si="8"/>
        <v>19.75</v>
      </c>
      <c r="BK37">
        <f t="shared" si="8"/>
        <v>20.25</v>
      </c>
      <c r="BL37">
        <f t="shared" si="8"/>
        <v>20.75</v>
      </c>
      <c r="BM37">
        <f t="shared" si="8"/>
        <v>21.25</v>
      </c>
      <c r="BN37">
        <f t="shared" si="8"/>
        <v>21.75</v>
      </c>
      <c r="BO37">
        <f t="shared" si="8"/>
        <v>22.25</v>
      </c>
      <c r="BP37">
        <f t="shared" si="8"/>
        <v>22.75</v>
      </c>
      <c r="BQ37">
        <f t="shared" si="8"/>
        <v>23.25</v>
      </c>
      <c r="BR37">
        <f t="shared" si="8"/>
        <v>23.75</v>
      </c>
      <c r="BS37">
        <f t="shared" si="8"/>
        <v>24.25</v>
      </c>
      <c r="BT37">
        <f>BT$35+3*$BT$33/1000</f>
        <v>17.399999999999999</v>
      </c>
      <c r="BU37">
        <f t="shared" ref="BU37:CH37" si="9">BU$35+3*$BT$33/1000</f>
        <v>17.899999999999999</v>
      </c>
      <c r="BV37">
        <f t="shared" si="9"/>
        <v>18.399999999999999</v>
      </c>
      <c r="BW37">
        <f t="shared" si="9"/>
        <v>18.899999999999999</v>
      </c>
      <c r="BX37">
        <f t="shared" si="9"/>
        <v>19.399999999999999</v>
      </c>
      <c r="BY37">
        <f t="shared" si="9"/>
        <v>19.899999999999999</v>
      </c>
      <c r="BZ37">
        <f t="shared" si="9"/>
        <v>20.399999999999999</v>
      </c>
      <c r="CA37">
        <f t="shared" si="9"/>
        <v>20.9</v>
      </c>
      <c r="CB37">
        <f t="shared" si="9"/>
        <v>21.4</v>
      </c>
      <c r="CC37">
        <f t="shared" si="9"/>
        <v>21.9</v>
      </c>
      <c r="CD37">
        <f t="shared" si="9"/>
        <v>22.4</v>
      </c>
      <c r="CE37">
        <f t="shared" si="9"/>
        <v>22.9</v>
      </c>
      <c r="CF37">
        <f t="shared" si="9"/>
        <v>23.4</v>
      </c>
      <c r="CG37">
        <f t="shared" si="9"/>
        <v>23.9</v>
      </c>
      <c r="CH37">
        <f t="shared" si="9"/>
        <v>24.4</v>
      </c>
      <c r="CI37">
        <f>CI$35+3*$CI$33/1000</f>
        <v>17.55</v>
      </c>
      <c r="CJ37">
        <f t="shared" ref="CJ37:CW37" si="10">CJ$35+3*$CI$33/1000</f>
        <v>18.05</v>
      </c>
      <c r="CK37">
        <f t="shared" si="10"/>
        <v>18.55</v>
      </c>
      <c r="CL37">
        <f t="shared" si="10"/>
        <v>19.05</v>
      </c>
      <c r="CM37">
        <f t="shared" si="10"/>
        <v>19.55</v>
      </c>
      <c r="CN37">
        <f t="shared" si="10"/>
        <v>20.05</v>
      </c>
      <c r="CO37">
        <f t="shared" si="10"/>
        <v>20.55</v>
      </c>
      <c r="CP37">
        <f t="shared" si="10"/>
        <v>21.05</v>
      </c>
      <c r="CQ37">
        <f t="shared" si="10"/>
        <v>21.55</v>
      </c>
      <c r="CR37">
        <f t="shared" si="10"/>
        <v>22.05</v>
      </c>
      <c r="CS37">
        <f t="shared" si="10"/>
        <v>22.55</v>
      </c>
      <c r="CT37">
        <f t="shared" si="10"/>
        <v>23.05</v>
      </c>
      <c r="CU37">
        <f t="shared" si="10"/>
        <v>23.55</v>
      </c>
      <c r="CV37">
        <f t="shared" si="10"/>
        <v>24.05</v>
      </c>
      <c r="CW37">
        <f t="shared" si="10"/>
        <v>24.55</v>
      </c>
      <c r="CX37">
        <f>CX$35+3*$CX$33/1000</f>
        <v>17.7</v>
      </c>
      <c r="CY37">
        <f t="shared" ref="CY37:DK37" si="11">CY$35+3*$CX$33/1000</f>
        <v>18.2</v>
      </c>
      <c r="CZ37">
        <f t="shared" si="11"/>
        <v>18.7</v>
      </c>
      <c r="DA37">
        <f t="shared" si="11"/>
        <v>19.2</v>
      </c>
      <c r="DB37">
        <f t="shared" si="11"/>
        <v>19.7</v>
      </c>
      <c r="DC37">
        <f t="shared" si="11"/>
        <v>20.2</v>
      </c>
      <c r="DD37">
        <f t="shared" si="11"/>
        <v>20.7</v>
      </c>
      <c r="DE37">
        <f t="shared" si="11"/>
        <v>21.2</v>
      </c>
      <c r="DF37">
        <f t="shared" si="11"/>
        <v>21.7</v>
      </c>
      <c r="DG37">
        <f t="shared" si="11"/>
        <v>22.2</v>
      </c>
      <c r="DH37">
        <f t="shared" si="11"/>
        <v>22.7</v>
      </c>
      <c r="DI37">
        <f t="shared" si="11"/>
        <v>23.2</v>
      </c>
      <c r="DJ37">
        <f t="shared" si="11"/>
        <v>23.7</v>
      </c>
      <c r="DK37">
        <f t="shared" si="11"/>
        <v>24.2</v>
      </c>
      <c r="DL37">
        <f>DL$35+3*$CX$33/1000</f>
        <v>24.7</v>
      </c>
    </row>
    <row r="38" spans="1:116" x14ac:dyDescent="0.2">
      <c r="A38" s="4" t="str">
        <f>IF(A35="De acero","fyk=","fck=")</f>
        <v>fck=</v>
      </c>
      <c r="B38" s="149">
        <v>10</v>
      </c>
      <c r="C38" s="5" t="s">
        <v>0</v>
      </c>
      <c r="D38" s="19"/>
      <c r="E38" s="5"/>
      <c r="F38" s="5"/>
      <c r="G38" s="9"/>
      <c r="H38" s="4"/>
      <c r="I38" s="5"/>
      <c r="J38" s="26"/>
      <c r="K38" s="5"/>
      <c r="L38" s="5"/>
      <c r="M38" s="5"/>
      <c r="N38" s="5"/>
      <c r="O38" s="5"/>
      <c r="P38" s="9"/>
      <c r="X38" s="23"/>
      <c r="Y38" s="23"/>
      <c r="Z38" s="177" t="s">
        <v>77</v>
      </c>
      <c r="AA38" s="32">
        <f t="shared" ref="AA38:CL38" si="12">IF(AND($D63&lt;=AA$36,AA$36&lt;$E63),$E63-AA$36-IF(AND($D63&lt;AA$37,AA$37&lt;=$E63),$E63-AA$37,0),0)+IF(AND($D63&lt;AA$37,AA$37&lt;=$E63,AA$36&lt;$D63),AA$37-$D63,0)+IF(AND(AA$36&lt;$D63,AA$37&gt;$E63),$F63,0)</f>
        <v>0</v>
      </c>
      <c r="AB38" s="32">
        <f t="shared" si="12"/>
        <v>0</v>
      </c>
      <c r="AC38" s="32">
        <f t="shared" si="12"/>
        <v>0</v>
      </c>
      <c r="AD38" s="32">
        <f t="shared" si="12"/>
        <v>0</v>
      </c>
      <c r="AE38" s="32">
        <f t="shared" si="12"/>
        <v>0</v>
      </c>
      <c r="AF38" s="32">
        <f t="shared" si="12"/>
        <v>0</v>
      </c>
      <c r="AG38" s="32">
        <f t="shared" si="12"/>
        <v>0</v>
      </c>
      <c r="AH38" s="32">
        <f t="shared" si="12"/>
        <v>0</v>
      </c>
      <c r="AI38" s="32">
        <f t="shared" si="12"/>
        <v>0</v>
      </c>
      <c r="AJ38" s="32">
        <f t="shared" si="12"/>
        <v>0</v>
      </c>
      <c r="AK38" s="32">
        <f t="shared" si="12"/>
        <v>0</v>
      </c>
      <c r="AL38" s="32">
        <f t="shared" si="12"/>
        <v>0</v>
      </c>
      <c r="AM38" s="32">
        <f t="shared" si="12"/>
        <v>0</v>
      </c>
      <c r="AN38" s="32">
        <f t="shared" si="12"/>
        <v>0</v>
      </c>
      <c r="AO38" s="32">
        <f t="shared" si="12"/>
        <v>0</v>
      </c>
      <c r="AP38" s="32">
        <f t="shared" si="12"/>
        <v>0</v>
      </c>
      <c r="AQ38" s="32">
        <f t="shared" si="12"/>
        <v>0</v>
      </c>
      <c r="AR38" s="32">
        <f t="shared" si="12"/>
        <v>0</v>
      </c>
      <c r="AS38" s="32">
        <f t="shared" si="12"/>
        <v>0</v>
      </c>
      <c r="AT38" s="32">
        <f t="shared" si="12"/>
        <v>0</v>
      </c>
      <c r="AU38" s="32">
        <f t="shared" si="12"/>
        <v>0</v>
      </c>
      <c r="AV38" s="32">
        <f t="shared" si="12"/>
        <v>0</v>
      </c>
      <c r="AW38" s="32">
        <f t="shared" si="12"/>
        <v>0</v>
      </c>
      <c r="AX38" s="32">
        <f t="shared" si="12"/>
        <v>0</v>
      </c>
      <c r="AY38" s="32">
        <f t="shared" si="12"/>
        <v>0</v>
      </c>
      <c r="AZ38" s="32">
        <f t="shared" si="12"/>
        <v>0</v>
      </c>
      <c r="BA38" s="32">
        <f t="shared" si="12"/>
        <v>0</v>
      </c>
      <c r="BB38" s="32">
        <f t="shared" si="12"/>
        <v>0</v>
      </c>
      <c r="BC38" s="32">
        <f t="shared" si="12"/>
        <v>0</v>
      </c>
      <c r="BD38" s="32">
        <f t="shared" si="12"/>
        <v>0</v>
      </c>
      <c r="BE38" s="32">
        <f t="shared" si="12"/>
        <v>0</v>
      </c>
      <c r="BF38" s="32">
        <f t="shared" si="12"/>
        <v>0</v>
      </c>
      <c r="BG38" s="32">
        <f t="shared" si="12"/>
        <v>0</v>
      </c>
      <c r="BH38" s="32">
        <f t="shared" si="12"/>
        <v>0</v>
      </c>
      <c r="BI38" s="32">
        <f t="shared" si="12"/>
        <v>0</v>
      </c>
      <c r="BJ38" s="32">
        <f t="shared" si="12"/>
        <v>0</v>
      </c>
      <c r="BK38" s="32">
        <f t="shared" si="12"/>
        <v>0</v>
      </c>
      <c r="BL38" s="32">
        <f t="shared" si="12"/>
        <v>0</v>
      </c>
      <c r="BM38" s="32">
        <f t="shared" si="12"/>
        <v>0</v>
      </c>
      <c r="BN38" s="32">
        <f t="shared" si="12"/>
        <v>0</v>
      </c>
      <c r="BO38" s="32">
        <f t="shared" si="12"/>
        <v>0</v>
      </c>
      <c r="BP38" s="32">
        <f t="shared" si="12"/>
        <v>0</v>
      </c>
      <c r="BQ38" s="32">
        <f t="shared" si="12"/>
        <v>0</v>
      </c>
      <c r="BR38" s="32">
        <f t="shared" si="12"/>
        <v>0</v>
      </c>
      <c r="BS38" s="32">
        <f t="shared" si="12"/>
        <v>0</v>
      </c>
      <c r="BT38" s="32">
        <f t="shared" si="12"/>
        <v>0</v>
      </c>
      <c r="BU38" s="32">
        <f t="shared" si="12"/>
        <v>0</v>
      </c>
      <c r="BV38" s="32">
        <f t="shared" si="12"/>
        <v>0</v>
      </c>
      <c r="BW38" s="32">
        <f t="shared" si="12"/>
        <v>0</v>
      </c>
      <c r="BX38" s="32">
        <f t="shared" si="12"/>
        <v>0</v>
      </c>
      <c r="BY38" s="32">
        <f t="shared" si="12"/>
        <v>0</v>
      </c>
      <c r="BZ38" s="32">
        <f t="shared" si="12"/>
        <v>0</v>
      </c>
      <c r="CA38" s="32">
        <f t="shared" si="12"/>
        <v>0</v>
      </c>
      <c r="CB38" s="32">
        <f t="shared" si="12"/>
        <v>0</v>
      </c>
      <c r="CC38" s="32">
        <f t="shared" si="12"/>
        <v>0</v>
      </c>
      <c r="CD38" s="32">
        <f t="shared" si="12"/>
        <v>0</v>
      </c>
      <c r="CE38" s="32">
        <f t="shared" si="12"/>
        <v>0</v>
      </c>
      <c r="CF38" s="32">
        <f t="shared" si="12"/>
        <v>0</v>
      </c>
      <c r="CG38" s="32">
        <f t="shared" si="12"/>
        <v>0</v>
      </c>
      <c r="CH38" s="32">
        <f t="shared" si="12"/>
        <v>0</v>
      </c>
      <c r="CI38" s="32">
        <f t="shared" si="12"/>
        <v>0</v>
      </c>
      <c r="CJ38" s="32">
        <f t="shared" si="12"/>
        <v>0</v>
      </c>
      <c r="CK38" s="32">
        <f t="shared" si="12"/>
        <v>0</v>
      </c>
      <c r="CL38" s="32">
        <f t="shared" si="12"/>
        <v>0</v>
      </c>
      <c r="CM38" s="32">
        <f t="shared" ref="CM38:CW38" si="13">IF(AND($D63&lt;=CM$36,CM$36&lt;$E63),$E63-CM$36-IF(AND($D63&lt;CM$37,CM$37&lt;=$E63),$E63-CM$37,0),0)+IF(AND($D63&lt;CM$37,CM$37&lt;=$E63,CM$36&lt;$D63),CM$37-$D63,0)+IF(AND(CM$36&lt;$D63,CM$37&gt;$E63),$F63,0)</f>
        <v>0</v>
      </c>
      <c r="CN38" s="32">
        <f t="shared" si="13"/>
        <v>0</v>
      </c>
      <c r="CO38" s="32">
        <f t="shared" si="13"/>
        <v>0</v>
      </c>
      <c r="CP38" s="32">
        <f t="shared" si="13"/>
        <v>0</v>
      </c>
      <c r="CQ38" s="32">
        <f t="shared" si="13"/>
        <v>0</v>
      </c>
      <c r="CR38" s="32">
        <f t="shared" si="13"/>
        <v>0</v>
      </c>
      <c r="CS38" s="32">
        <f t="shared" si="13"/>
        <v>0</v>
      </c>
      <c r="CT38" s="32">
        <f t="shared" si="13"/>
        <v>0</v>
      </c>
      <c r="CU38" s="32">
        <f t="shared" si="13"/>
        <v>0</v>
      </c>
      <c r="CV38" s="32">
        <f t="shared" si="13"/>
        <v>0</v>
      </c>
      <c r="CW38" s="32">
        <f t="shared" si="13"/>
        <v>0</v>
      </c>
      <c r="CX38" s="32">
        <f t="shared" ref="CX38:DL40" si="14">IF(AND($D63&lt;=CX$36,CX$36&lt;$E63),$E63-CX$36-IF(AND($D63&lt;CX$37,CX$37&lt;=$E63),$E63-CX$37,0),0)+IF(AND($D63&lt;CX$37,CX$37&lt;=$E63,CX$36&lt;$D63),CX$37-$D63,0)+IF(AND(CX$36&lt;$D63,CX$37&gt;$E63),$F63,0)</f>
        <v>0</v>
      </c>
      <c r="CY38" s="32">
        <f t="shared" si="14"/>
        <v>0</v>
      </c>
      <c r="CZ38" s="32">
        <f t="shared" si="14"/>
        <v>0</v>
      </c>
      <c r="DA38" s="32">
        <f t="shared" si="14"/>
        <v>0</v>
      </c>
      <c r="DB38" s="32">
        <f t="shared" si="14"/>
        <v>0</v>
      </c>
      <c r="DC38" s="32">
        <f t="shared" si="14"/>
        <v>0</v>
      </c>
      <c r="DD38" s="32">
        <f t="shared" si="14"/>
        <v>0</v>
      </c>
      <c r="DE38" s="32">
        <f t="shared" si="14"/>
        <v>0</v>
      </c>
      <c r="DF38" s="32">
        <f t="shared" si="14"/>
        <v>0</v>
      </c>
      <c r="DG38" s="32">
        <f t="shared" si="14"/>
        <v>0</v>
      </c>
      <c r="DH38" s="32">
        <f t="shared" si="14"/>
        <v>0</v>
      </c>
      <c r="DI38" s="32">
        <f t="shared" si="14"/>
        <v>0</v>
      </c>
      <c r="DJ38" s="32">
        <f t="shared" si="14"/>
        <v>0</v>
      </c>
      <c r="DK38" s="32">
        <f t="shared" si="14"/>
        <v>0</v>
      </c>
      <c r="DL38" s="32">
        <f t="shared" si="14"/>
        <v>0</v>
      </c>
    </row>
    <row r="39" spans="1:116" x14ac:dyDescent="0.2">
      <c r="A39" s="4" t="s">
        <v>42</v>
      </c>
      <c r="B39" s="149">
        <v>1</v>
      </c>
      <c r="C39" s="5" t="s">
        <v>0</v>
      </c>
      <c r="D39" s="19"/>
      <c r="E39" s="5"/>
      <c r="F39" s="5"/>
      <c r="G39" s="9"/>
      <c r="H39" s="4"/>
      <c r="I39" s="5"/>
      <c r="J39" s="26"/>
      <c r="K39" s="5"/>
      <c r="L39" s="5"/>
      <c r="M39" s="5"/>
      <c r="N39" s="5"/>
      <c r="O39" s="5"/>
      <c r="P39" s="9"/>
      <c r="X39" s="23"/>
      <c r="Y39" s="23"/>
      <c r="Z39" s="177"/>
      <c r="AA39" s="32">
        <f t="shared" ref="AA39:CL39" si="15">IF(AND($D64&lt;=AA$36,AA$36&lt;$E64),$E64-AA$36-IF(AND($D64&lt;AA$37,AA$37&lt;=$E64),$E64-AA$37,0),0)+IF(AND($D64&lt;AA$37,AA$37&lt;=$E64,AA$36&lt;$D64),AA$37-$D64,0)+IF(AND(AA$36&lt;$D64,AA$37&gt;$E64),$F64,0)</f>
        <v>0</v>
      </c>
      <c r="AB39" s="32">
        <f t="shared" si="15"/>
        <v>0</v>
      </c>
      <c r="AC39" s="32">
        <f t="shared" si="15"/>
        <v>0</v>
      </c>
      <c r="AD39" s="32">
        <f t="shared" si="15"/>
        <v>0</v>
      </c>
      <c r="AE39" s="32">
        <f t="shared" si="15"/>
        <v>0</v>
      </c>
      <c r="AF39" s="32">
        <f t="shared" si="15"/>
        <v>0</v>
      </c>
      <c r="AG39" s="32">
        <f t="shared" si="15"/>
        <v>0</v>
      </c>
      <c r="AH39" s="32">
        <f t="shared" si="15"/>
        <v>0</v>
      </c>
      <c r="AI39" s="32">
        <f t="shared" si="15"/>
        <v>0</v>
      </c>
      <c r="AJ39" s="32">
        <f t="shared" si="15"/>
        <v>0</v>
      </c>
      <c r="AK39" s="32">
        <f t="shared" si="15"/>
        <v>0</v>
      </c>
      <c r="AL39" s="32">
        <f t="shared" si="15"/>
        <v>0</v>
      </c>
      <c r="AM39" s="32">
        <f t="shared" si="15"/>
        <v>0</v>
      </c>
      <c r="AN39" s="32">
        <f t="shared" si="15"/>
        <v>0</v>
      </c>
      <c r="AO39" s="32">
        <f t="shared" si="15"/>
        <v>0</v>
      </c>
      <c r="AP39" s="32">
        <f t="shared" si="15"/>
        <v>0</v>
      </c>
      <c r="AQ39" s="32">
        <f t="shared" si="15"/>
        <v>0</v>
      </c>
      <c r="AR39" s="32">
        <f t="shared" si="15"/>
        <v>0</v>
      </c>
      <c r="AS39" s="32">
        <f t="shared" si="15"/>
        <v>0</v>
      </c>
      <c r="AT39" s="32">
        <f t="shared" si="15"/>
        <v>0</v>
      </c>
      <c r="AU39" s="32">
        <f t="shared" si="15"/>
        <v>0</v>
      </c>
      <c r="AV39" s="32">
        <f t="shared" si="15"/>
        <v>0</v>
      </c>
      <c r="AW39" s="32">
        <f t="shared" si="15"/>
        <v>0</v>
      </c>
      <c r="AX39" s="32">
        <f t="shared" si="15"/>
        <v>0</v>
      </c>
      <c r="AY39" s="32">
        <f t="shared" si="15"/>
        <v>0</v>
      </c>
      <c r="AZ39" s="32">
        <f t="shared" si="15"/>
        <v>0</v>
      </c>
      <c r="BA39" s="32">
        <f t="shared" si="15"/>
        <v>0</v>
      </c>
      <c r="BB39" s="32">
        <f t="shared" si="15"/>
        <v>0</v>
      </c>
      <c r="BC39" s="32">
        <f t="shared" si="15"/>
        <v>0</v>
      </c>
      <c r="BD39" s="32">
        <f t="shared" si="15"/>
        <v>0</v>
      </c>
      <c r="BE39" s="32">
        <f t="shared" si="15"/>
        <v>0</v>
      </c>
      <c r="BF39" s="32">
        <f t="shared" si="15"/>
        <v>0</v>
      </c>
      <c r="BG39" s="32">
        <f t="shared" si="15"/>
        <v>0</v>
      </c>
      <c r="BH39" s="32">
        <f t="shared" si="15"/>
        <v>0</v>
      </c>
      <c r="BI39" s="32">
        <f t="shared" si="15"/>
        <v>0</v>
      </c>
      <c r="BJ39" s="32">
        <f t="shared" si="15"/>
        <v>0</v>
      </c>
      <c r="BK39" s="32">
        <f t="shared" si="15"/>
        <v>0</v>
      </c>
      <c r="BL39" s="32">
        <f t="shared" si="15"/>
        <v>0</v>
      </c>
      <c r="BM39" s="32">
        <f t="shared" si="15"/>
        <v>0</v>
      </c>
      <c r="BN39" s="32">
        <f t="shared" si="15"/>
        <v>0</v>
      </c>
      <c r="BO39" s="32">
        <f t="shared" si="15"/>
        <v>0</v>
      </c>
      <c r="BP39" s="32">
        <f t="shared" si="15"/>
        <v>0</v>
      </c>
      <c r="BQ39" s="32">
        <f t="shared" si="15"/>
        <v>0</v>
      </c>
      <c r="BR39" s="32">
        <f t="shared" si="15"/>
        <v>0</v>
      </c>
      <c r="BS39" s="32">
        <f t="shared" si="15"/>
        <v>0</v>
      </c>
      <c r="BT39" s="32">
        <f t="shared" si="15"/>
        <v>0</v>
      </c>
      <c r="BU39" s="32">
        <f t="shared" si="15"/>
        <v>0</v>
      </c>
      <c r="BV39" s="32">
        <f t="shared" si="15"/>
        <v>0</v>
      </c>
      <c r="BW39" s="32">
        <f t="shared" si="15"/>
        <v>0</v>
      </c>
      <c r="BX39" s="32">
        <f t="shared" si="15"/>
        <v>0</v>
      </c>
      <c r="BY39" s="32">
        <f t="shared" si="15"/>
        <v>0</v>
      </c>
      <c r="BZ39" s="32">
        <f t="shared" si="15"/>
        <v>0</v>
      </c>
      <c r="CA39" s="32">
        <f t="shared" si="15"/>
        <v>0</v>
      </c>
      <c r="CB39" s="32">
        <f t="shared" si="15"/>
        <v>0</v>
      </c>
      <c r="CC39" s="32">
        <f t="shared" si="15"/>
        <v>0</v>
      </c>
      <c r="CD39" s="32">
        <f t="shared" si="15"/>
        <v>0</v>
      </c>
      <c r="CE39" s="32">
        <f t="shared" si="15"/>
        <v>0</v>
      </c>
      <c r="CF39" s="32">
        <f t="shared" si="15"/>
        <v>0</v>
      </c>
      <c r="CG39" s="32">
        <f t="shared" si="15"/>
        <v>0</v>
      </c>
      <c r="CH39" s="32">
        <f t="shared" si="15"/>
        <v>0</v>
      </c>
      <c r="CI39" s="32">
        <f t="shared" si="15"/>
        <v>9.9999999999999645E-2</v>
      </c>
      <c r="CJ39" s="32">
        <f t="shared" si="15"/>
        <v>0</v>
      </c>
      <c r="CK39" s="32">
        <f t="shared" si="15"/>
        <v>0</v>
      </c>
      <c r="CL39" s="32">
        <f t="shared" si="15"/>
        <v>0</v>
      </c>
      <c r="CM39" s="32">
        <f t="shared" ref="CM39:CW39" si="16">IF(AND($D64&lt;=CM$36,CM$36&lt;$E64),$E64-CM$36-IF(AND($D64&lt;CM$37,CM$37&lt;=$E64),$E64-CM$37,0),0)+IF(AND($D64&lt;CM$37,CM$37&lt;=$E64,CM$36&lt;$D64),CM$37-$D64,0)+IF(AND(CM$36&lt;$D64,CM$37&gt;$E64),$F64,0)</f>
        <v>0</v>
      </c>
      <c r="CN39" s="32">
        <f t="shared" si="16"/>
        <v>0</v>
      </c>
      <c r="CO39" s="32">
        <f t="shared" si="16"/>
        <v>0</v>
      </c>
      <c r="CP39" s="32">
        <f t="shared" si="16"/>
        <v>0</v>
      </c>
      <c r="CQ39" s="32">
        <f t="shared" si="16"/>
        <v>0</v>
      </c>
      <c r="CR39" s="32">
        <f t="shared" si="16"/>
        <v>0</v>
      </c>
      <c r="CS39" s="32">
        <f t="shared" si="16"/>
        <v>0</v>
      </c>
      <c r="CT39" s="32">
        <f t="shared" si="16"/>
        <v>0</v>
      </c>
      <c r="CU39" s="32">
        <f t="shared" si="16"/>
        <v>0</v>
      </c>
      <c r="CV39" s="32">
        <f t="shared" si="16"/>
        <v>0</v>
      </c>
      <c r="CW39" s="32">
        <f t="shared" si="16"/>
        <v>0</v>
      </c>
      <c r="CX39" s="32">
        <f t="shared" si="14"/>
        <v>0.40000000000000036</v>
      </c>
      <c r="CY39" s="32">
        <f t="shared" si="14"/>
        <v>0</v>
      </c>
      <c r="CZ39" s="32">
        <f t="shared" si="14"/>
        <v>0</v>
      </c>
      <c r="DA39" s="32">
        <f t="shared" si="14"/>
        <v>0</v>
      </c>
      <c r="DB39" s="32">
        <f t="shared" si="14"/>
        <v>0</v>
      </c>
      <c r="DC39" s="32">
        <f t="shared" si="14"/>
        <v>0</v>
      </c>
      <c r="DD39" s="32">
        <f t="shared" si="14"/>
        <v>0</v>
      </c>
      <c r="DE39" s="32">
        <f t="shared" si="14"/>
        <v>0</v>
      </c>
      <c r="DF39" s="32">
        <f t="shared" si="14"/>
        <v>0</v>
      </c>
      <c r="DG39" s="32">
        <f t="shared" si="14"/>
        <v>0</v>
      </c>
      <c r="DH39" s="32">
        <f t="shared" si="14"/>
        <v>0</v>
      </c>
      <c r="DI39" s="32">
        <f t="shared" si="14"/>
        <v>0</v>
      </c>
      <c r="DJ39" s="32">
        <f t="shared" si="14"/>
        <v>0</v>
      </c>
      <c r="DK39" s="32">
        <f t="shared" si="14"/>
        <v>0</v>
      </c>
      <c r="DL39" s="32">
        <f t="shared" si="14"/>
        <v>0</v>
      </c>
    </row>
    <row r="40" spans="1:116" x14ac:dyDescent="0.2">
      <c r="A40" s="4" t="s">
        <v>43</v>
      </c>
      <c r="B40" s="35">
        <f>IF(A34=R3,VLOOKUP(A35,R9:U13,4,0)*IF(G41="Si",1.25,1),IF(A35=R5,U5,IF(A35=R7,0.3*(B38-0.9*B39),0.3*B38)))</f>
        <v>5</v>
      </c>
      <c r="C40" s="5" t="s">
        <v>0</v>
      </c>
      <c r="D40" s="5"/>
      <c r="E40" s="5"/>
      <c r="F40" s="5"/>
      <c r="G40" s="9"/>
      <c r="H40" s="4"/>
      <c r="I40" s="5"/>
      <c r="J40" s="5"/>
      <c r="K40" s="5"/>
      <c r="L40" s="5"/>
      <c r="M40" s="5"/>
      <c r="N40" s="5"/>
      <c r="O40" s="5"/>
      <c r="P40" s="9"/>
      <c r="X40" s="23"/>
      <c r="Y40" s="23"/>
      <c r="Z40" s="177"/>
      <c r="AA40" s="32">
        <f t="shared" ref="AA40:CL40" si="17">IF(AND($D65&lt;=AA$36,AA$36&lt;$E65),$E65-AA$36-IF(AND($D65&lt;AA$37,AA$37&lt;=$E65),$E65-AA$37,0),0)+IF(AND($D65&lt;AA$37,AA$37&lt;=$E65,AA$36&lt;$D65),AA$37-$D65,0)+IF(AND(AA$36&lt;$D65,AA$37&gt;$E65),$F65,0)</f>
        <v>5.8499999999999979</v>
      </c>
      <c r="AB40" s="32">
        <f t="shared" si="17"/>
        <v>5.8499999999999979</v>
      </c>
      <c r="AC40" s="32">
        <f t="shared" si="17"/>
        <v>5.8499999999999979</v>
      </c>
      <c r="AD40" s="32">
        <f t="shared" si="17"/>
        <v>5.8499999999999979</v>
      </c>
      <c r="AE40" s="32">
        <f t="shared" si="17"/>
        <v>5.8499999999999979</v>
      </c>
      <c r="AF40" s="32">
        <f t="shared" si="17"/>
        <v>5.8499999999999979</v>
      </c>
      <c r="AG40" s="32">
        <f t="shared" si="17"/>
        <v>5.85</v>
      </c>
      <c r="AH40" s="32">
        <f t="shared" si="17"/>
        <v>5.85</v>
      </c>
      <c r="AI40" s="32">
        <f t="shared" si="17"/>
        <v>5.85</v>
      </c>
      <c r="AJ40" s="32">
        <f t="shared" si="17"/>
        <v>5.85</v>
      </c>
      <c r="AK40" s="32">
        <f t="shared" si="17"/>
        <v>5.8499999999999979</v>
      </c>
      <c r="AL40" s="32">
        <f t="shared" si="17"/>
        <v>5.8499999999999979</v>
      </c>
      <c r="AM40" s="32">
        <f t="shared" si="17"/>
        <v>5.8499999999999979</v>
      </c>
      <c r="AN40" s="32">
        <f t="shared" si="17"/>
        <v>5.8499999999999979</v>
      </c>
      <c r="AO40" s="32">
        <f t="shared" si="17"/>
        <v>5.8499999999999979</v>
      </c>
      <c r="AP40" s="32">
        <f t="shared" si="17"/>
        <v>6.3000000000000007</v>
      </c>
      <c r="AQ40" s="32">
        <f t="shared" si="17"/>
        <v>6.3000000000000007</v>
      </c>
      <c r="AR40" s="32">
        <f t="shared" si="17"/>
        <v>6.3000000000000007</v>
      </c>
      <c r="AS40" s="32">
        <f t="shared" si="17"/>
        <v>6.3000000000000007</v>
      </c>
      <c r="AT40" s="32">
        <f t="shared" si="17"/>
        <v>6.3000000000000007</v>
      </c>
      <c r="AU40" s="32">
        <f t="shared" si="17"/>
        <v>6.3000000000000007</v>
      </c>
      <c r="AV40" s="32">
        <f t="shared" si="17"/>
        <v>6.3000000000000007</v>
      </c>
      <c r="AW40" s="32">
        <f t="shared" si="17"/>
        <v>6.3000000000000007</v>
      </c>
      <c r="AX40" s="32">
        <f t="shared" si="17"/>
        <v>6.3000000000000007</v>
      </c>
      <c r="AY40" s="32">
        <f t="shared" si="17"/>
        <v>6.3000000000000007</v>
      </c>
      <c r="AZ40" s="32">
        <f t="shared" si="17"/>
        <v>6.3000000000000007</v>
      </c>
      <c r="BA40" s="32">
        <f t="shared" si="17"/>
        <v>6.3000000000000007</v>
      </c>
      <c r="BB40" s="32">
        <f t="shared" si="17"/>
        <v>6.3000000000000007</v>
      </c>
      <c r="BC40" s="32">
        <f t="shared" si="17"/>
        <v>6.3000000000000007</v>
      </c>
      <c r="BD40" s="32">
        <f t="shared" si="17"/>
        <v>6.3000000000000007</v>
      </c>
      <c r="BE40" s="32">
        <f t="shared" si="17"/>
        <v>6.75</v>
      </c>
      <c r="BF40" s="32">
        <f t="shared" si="17"/>
        <v>6.75</v>
      </c>
      <c r="BG40" s="32">
        <f t="shared" si="17"/>
        <v>6.75</v>
      </c>
      <c r="BH40" s="32">
        <f t="shared" si="17"/>
        <v>6.75</v>
      </c>
      <c r="BI40" s="32">
        <f t="shared" si="17"/>
        <v>6.75</v>
      </c>
      <c r="BJ40" s="32">
        <f t="shared" si="17"/>
        <v>6.75</v>
      </c>
      <c r="BK40" s="32">
        <f t="shared" si="17"/>
        <v>6.75</v>
      </c>
      <c r="BL40" s="32">
        <f t="shared" si="17"/>
        <v>6.75</v>
      </c>
      <c r="BM40" s="32">
        <f t="shared" si="17"/>
        <v>6.75</v>
      </c>
      <c r="BN40" s="32">
        <f t="shared" si="17"/>
        <v>6.75</v>
      </c>
      <c r="BO40" s="32">
        <f t="shared" si="17"/>
        <v>6.75</v>
      </c>
      <c r="BP40" s="32">
        <f t="shared" si="17"/>
        <v>6.75</v>
      </c>
      <c r="BQ40" s="32">
        <f t="shared" si="17"/>
        <v>6.75</v>
      </c>
      <c r="BR40" s="32">
        <f t="shared" si="17"/>
        <v>6.75</v>
      </c>
      <c r="BS40" s="32">
        <f t="shared" si="17"/>
        <v>6.75</v>
      </c>
      <c r="BT40" s="32">
        <f t="shared" si="17"/>
        <v>7.1999999999999993</v>
      </c>
      <c r="BU40" s="32">
        <f t="shared" si="17"/>
        <v>7.1999999999999993</v>
      </c>
      <c r="BV40" s="32">
        <f t="shared" si="17"/>
        <v>7.1999999999999993</v>
      </c>
      <c r="BW40" s="32">
        <f t="shared" si="17"/>
        <v>7.1999999999999993</v>
      </c>
      <c r="BX40" s="32">
        <f t="shared" si="17"/>
        <v>7.1999999999999993</v>
      </c>
      <c r="BY40" s="32">
        <f t="shared" si="17"/>
        <v>7.1999999999999993</v>
      </c>
      <c r="BZ40" s="32">
        <f t="shared" si="17"/>
        <v>7.1999999999999993</v>
      </c>
      <c r="CA40" s="32">
        <f t="shared" si="17"/>
        <v>7.1999999999999993</v>
      </c>
      <c r="CB40" s="32">
        <f t="shared" si="17"/>
        <v>7.1999999999999993</v>
      </c>
      <c r="CC40" s="32">
        <f t="shared" si="17"/>
        <v>7.1999999999999993</v>
      </c>
      <c r="CD40" s="32">
        <f t="shared" si="17"/>
        <v>7.1999999999999993</v>
      </c>
      <c r="CE40" s="32">
        <f t="shared" si="17"/>
        <v>7.1999999999999993</v>
      </c>
      <c r="CF40" s="32">
        <f t="shared" si="17"/>
        <v>7.1999999999999993</v>
      </c>
      <c r="CG40" s="32">
        <f t="shared" si="17"/>
        <v>7.1999999999999993</v>
      </c>
      <c r="CH40" s="32">
        <f t="shared" si="17"/>
        <v>7.1999999999999993</v>
      </c>
      <c r="CI40" s="32">
        <f t="shared" si="17"/>
        <v>7.5500000000000007</v>
      </c>
      <c r="CJ40" s="32">
        <f t="shared" si="17"/>
        <v>7.6500000000000021</v>
      </c>
      <c r="CK40" s="32">
        <f t="shared" si="17"/>
        <v>7.6500000000000021</v>
      </c>
      <c r="CL40" s="32">
        <f t="shared" si="17"/>
        <v>7.6500000000000021</v>
      </c>
      <c r="CM40" s="32">
        <f t="shared" ref="CM40:CW40" si="18">IF(AND($D65&lt;=CM$36,CM$36&lt;$E65),$E65-CM$36-IF(AND($D65&lt;CM$37,CM$37&lt;=$E65),$E65-CM$37,0),0)+IF(AND($D65&lt;CM$37,CM$37&lt;=$E65,CM$36&lt;$D65),CM$37-$D65,0)+IF(AND(CM$36&lt;$D65,CM$37&gt;$E65),$F65,0)</f>
        <v>7.6500000000000021</v>
      </c>
      <c r="CN40" s="32">
        <f t="shared" si="18"/>
        <v>7.6500000000000021</v>
      </c>
      <c r="CO40" s="32">
        <f t="shared" si="18"/>
        <v>7.6500000000000021</v>
      </c>
      <c r="CP40" s="32">
        <f t="shared" si="18"/>
        <v>7.6500000000000021</v>
      </c>
      <c r="CQ40" s="32">
        <f t="shared" si="18"/>
        <v>7.6500000000000021</v>
      </c>
      <c r="CR40" s="32">
        <f t="shared" si="18"/>
        <v>7.65</v>
      </c>
      <c r="CS40" s="32">
        <f t="shared" si="18"/>
        <v>7.65</v>
      </c>
      <c r="CT40" s="32">
        <f t="shared" si="18"/>
        <v>7.65</v>
      </c>
      <c r="CU40" s="32">
        <f t="shared" si="18"/>
        <v>7.65</v>
      </c>
      <c r="CV40" s="32">
        <f t="shared" si="18"/>
        <v>7.6500000000000021</v>
      </c>
      <c r="CW40" s="32">
        <f t="shared" si="18"/>
        <v>7.6500000000000021</v>
      </c>
      <c r="CX40" s="32">
        <f t="shared" si="14"/>
        <v>7.6999999999999993</v>
      </c>
      <c r="CY40" s="32">
        <f t="shared" si="14"/>
        <v>8.0999999999999979</v>
      </c>
      <c r="CZ40" s="32">
        <f t="shared" si="14"/>
        <v>8.0999999999999979</v>
      </c>
      <c r="DA40" s="32">
        <f t="shared" si="14"/>
        <v>8.0999999999999979</v>
      </c>
      <c r="DB40" s="32">
        <f t="shared" si="14"/>
        <v>8.0999999999999979</v>
      </c>
      <c r="DC40" s="32">
        <f t="shared" si="14"/>
        <v>8.0999999999999979</v>
      </c>
      <c r="DD40" s="32">
        <f t="shared" si="14"/>
        <v>8.0999999999999979</v>
      </c>
      <c r="DE40" s="32">
        <f t="shared" si="14"/>
        <v>8.0999999999999979</v>
      </c>
      <c r="DF40" s="32">
        <f t="shared" si="14"/>
        <v>8.0999999999999979</v>
      </c>
      <c r="DG40" s="32">
        <f t="shared" si="14"/>
        <v>8.1</v>
      </c>
      <c r="DH40" s="32">
        <f t="shared" si="14"/>
        <v>8.1</v>
      </c>
      <c r="DI40" s="32">
        <f t="shared" si="14"/>
        <v>8.1</v>
      </c>
      <c r="DJ40" s="32">
        <f t="shared" si="14"/>
        <v>8.1</v>
      </c>
      <c r="DK40" s="32">
        <f t="shared" si="14"/>
        <v>8.0999999999999979</v>
      </c>
      <c r="DL40" s="32">
        <f t="shared" si="14"/>
        <v>8.0999999999999979</v>
      </c>
    </row>
    <row r="41" spans="1:116" x14ac:dyDescent="0.2">
      <c r="A41" s="116" t="s">
        <v>44</v>
      </c>
      <c r="B41" s="35"/>
      <c r="C41" s="5"/>
      <c r="D41" s="5"/>
      <c r="E41" s="5"/>
      <c r="F41" s="5"/>
      <c r="G41" s="159" t="s">
        <v>16</v>
      </c>
      <c r="H41" s="4"/>
      <c r="I41" s="5"/>
      <c r="J41" s="5"/>
      <c r="K41" s="5"/>
      <c r="L41" s="5"/>
      <c r="M41" s="5"/>
      <c r="N41" s="5"/>
      <c r="O41" s="5"/>
      <c r="P41" s="9"/>
      <c r="X41" s="23"/>
      <c r="Y41" s="23"/>
      <c r="Z41" s="177"/>
      <c r="AA41" s="32">
        <f t="shared" ref="AA41:CL41" si="19">IF(AND($D66&lt;=AA$36,AA$36&lt;$E66),$E66-AA$36-IF(AND($D66&lt;AA$37,AA$37&lt;=$E66),$E66-AA$37,0),0)+IF(AND($D66&lt;AA$37,AA$37&lt;=$E66,AA$36&lt;$D66),AA$37-$D66,0)+IF(AND(AA$36&lt;$D66,AA$37&gt;$E66),$F66,0)</f>
        <v>0</v>
      </c>
      <c r="AB41" s="32">
        <f t="shared" si="19"/>
        <v>0</v>
      </c>
      <c r="AC41" s="32">
        <f t="shared" si="19"/>
        <v>0</v>
      </c>
      <c r="AD41" s="32">
        <f t="shared" si="19"/>
        <v>0</v>
      </c>
      <c r="AE41" s="32">
        <f t="shared" si="19"/>
        <v>0</v>
      </c>
      <c r="AF41" s="32">
        <f t="shared" si="19"/>
        <v>0</v>
      </c>
      <c r="AG41" s="32">
        <f t="shared" si="19"/>
        <v>0</v>
      </c>
      <c r="AH41" s="32">
        <f t="shared" si="19"/>
        <v>0</v>
      </c>
      <c r="AI41" s="32">
        <f t="shared" si="19"/>
        <v>0</v>
      </c>
      <c r="AJ41" s="32">
        <f t="shared" si="19"/>
        <v>0</v>
      </c>
      <c r="AK41" s="32">
        <f t="shared" si="19"/>
        <v>0</v>
      </c>
      <c r="AL41" s="32">
        <f t="shared" si="19"/>
        <v>0</v>
      </c>
      <c r="AM41" s="32">
        <f t="shared" si="19"/>
        <v>0</v>
      </c>
      <c r="AN41" s="32">
        <f t="shared" si="19"/>
        <v>0</v>
      </c>
      <c r="AO41" s="32">
        <f t="shared" si="19"/>
        <v>0</v>
      </c>
      <c r="AP41" s="32">
        <f t="shared" si="19"/>
        <v>0</v>
      </c>
      <c r="AQ41" s="32">
        <f t="shared" si="19"/>
        <v>0</v>
      </c>
      <c r="AR41" s="32">
        <f t="shared" si="19"/>
        <v>0</v>
      </c>
      <c r="AS41" s="32">
        <f t="shared" si="19"/>
        <v>0</v>
      </c>
      <c r="AT41" s="32">
        <f t="shared" si="19"/>
        <v>0</v>
      </c>
      <c r="AU41" s="32">
        <f t="shared" si="19"/>
        <v>0</v>
      </c>
      <c r="AV41" s="32">
        <f t="shared" si="19"/>
        <v>0</v>
      </c>
      <c r="AW41" s="32">
        <f t="shared" si="19"/>
        <v>0</v>
      </c>
      <c r="AX41" s="32">
        <f t="shared" si="19"/>
        <v>0</v>
      </c>
      <c r="AY41" s="32">
        <f t="shared" si="19"/>
        <v>0</v>
      </c>
      <c r="AZ41" s="32">
        <f t="shared" si="19"/>
        <v>0</v>
      </c>
      <c r="BA41" s="32">
        <f t="shared" si="19"/>
        <v>0</v>
      </c>
      <c r="BB41" s="32">
        <f t="shared" si="19"/>
        <v>0</v>
      </c>
      <c r="BC41" s="32">
        <f t="shared" si="19"/>
        <v>0</v>
      </c>
      <c r="BD41" s="32">
        <f t="shared" si="19"/>
        <v>0</v>
      </c>
      <c r="BE41" s="32">
        <f t="shared" si="19"/>
        <v>0</v>
      </c>
      <c r="BF41" s="32">
        <f t="shared" si="19"/>
        <v>0</v>
      </c>
      <c r="BG41" s="32">
        <f t="shared" si="19"/>
        <v>0</v>
      </c>
      <c r="BH41" s="32">
        <f t="shared" si="19"/>
        <v>0</v>
      </c>
      <c r="BI41" s="32">
        <f t="shared" si="19"/>
        <v>0</v>
      </c>
      <c r="BJ41" s="32">
        <f t="shared" si="19"/>
        <v>0</v>
      </c>
      <c r="BK41" s="32">
        <f t="shared" si="19"/>
        <v>0</v>
      </c>
      <c r="BL41" s="32">
        <f t="shared" si="19"/>
        <v>0</v>
      </c>
      <c r="BM41" s="32">
        <f t="shared" si="19"/>
        <v>0</v>
      </c>
      <c r="BN41" s="32">
        <f t="shared" si="19"/>
        <v>0</v>
      </c>
      <c r="BO41" s="32">
        <f t="shared" si="19"/>
        <v>0</v>
      </c>
      <c r="BP41" s="32">
        <f t="shared" si="19"/>
        <v>0</v>
      </c>
      <c r="BQ41" s="32">
        <f t="shared" si="19"/>
        <v>0</v>
      </c>
      <c r="BR41" s="32">
        <f t="shared" si="19"/>
        <v>0</v>
      </c>
      <c r="BS41" s="32">
        <f t="shared" si="19"/>
        <v>0</v>
      </c>
      <c r="BT41" s="32">
        <f t="shared" si="19"/>
        <v>0</v>
      </c>
      <c r="BU41" s="32">
        <f t="shared" si="19"/>
        <v>0</v>
      </c>
      <c r="BV41" s="32">
        <f t="shared" si="19"/>
        <v>0</v>
      </c>
      <c r="BW41" s="32">
        <f t="shared" si="19"/>
        <v>0</v>
      </c>
      <c r="BX41" s="32">
        <f t="shared" si="19"/>
        <v>0</v>
      </c>
      <c r="BY41" s="32">
        <f t="shared" si="19"/>
        <v>0</v>
      </c>
      <c r="BZ41" s="32">
        <f t="shared" si="19"/>
        <v>0</v>
      </c>
      <c r="CA41" s="32">
        <f t="shared" si="19"/>
        <v>0</v>
      </c>
      <c r="CB41" s="32">
        <f t="shared" si="19"/>
        <v>0</v>
      </c>
      <c r="CC41" s="32">
        <f t="shared" si="19"/>
        <v>0</v>
      </c>
      <c r="CD41" s="32">
        <f t="shared" si="19"/>
        <v>0</v>
      </c>
      <c r="CE41" s="32">
        <f t="shared" si="19"/>
        <v>0</v>
      </c>
      <c r="CF41" s="32">
        <f t="shared" si="19"/>
        <v>0</v>
      </c>
      <c r="CG41" s="32">
        <f t="shared" si="19"/>
        <v>0</v>
      </c>
      <c r="CH41" s="32">
        <f t="shared" si="19"/>
        <v>0</v>
      </c>
      <c r="CI41" s="32">
        <f t="shared" si="19"/>
        <v>0</v>
      </c>
      <c r="CJ41" s="32">
        <f t="shared" si="19"/>
        <v>0</v>
      </c>
      <c r="CK41" s="32">
        <f t="shared" si="19"/>
        <v>0</v>
      </c>
      <c r="CL41" s="32">
        <f t="shared" si="19"/>
        <v>0</v>
      </c>
      <c r="CM41" s="32">
        <f t="shared" ref="CM41:CW41" si="20">IF(AND($D66&lt;=CM$36,CM$36&lt;$E66),$E66-CM$36-IF(AND($D66&lt;CM$37,CM$37&lt;=$E66),$E66-CM$37,0),0)+IF(AND($D66&lt;CM$37,CM$37&lt;=$E66,CM$36&lt;$D66),CM$37-$D66,0)+IF(AND(CM$36&lt;$D66,CM$37&gt;$E66),$F66,0)</f>
        <v>0</v>
      </c>
      <c r="CN41" s="32">
        <f t="shared" si="20"/>
        <v>0</v>
      </c>
      <c r="CO41" s="32">
        <f t="shared" si="20"/>
        <v>0</v>
      </c>
      <c r="CP41" s="32">
        <f t="shared" si="20"/>
        <v>0</v>
      </c>
      <c r="CQ41" s="32">
        <f t="shared" si="20"/>
        <v>0</v>
      </c>
      <c r="CR41" s="32">
        <f t="shared" si="20"/>
        <v>0</v>
      </c>
      <c r="CS41" s="32">
        <f t="shared" si="20"/>
        <v>0</v>
      </c>
      <c r="CT41" s="32">
        <f t="shared" si="20"/>
        <v>0</v>
      </c>
      <c r="CU41" s="32">
        <f t="shared" si="20"/>
        <v>0</v>
      </c>
      <c r="CV41" s="32">
        <f t="shared" si="20"/>
        <v>0</v>
      </c>
      <c r="CW41" s="32">
        <f t="shared" si="20"/>
        <v>0</v>
      </c>
      <c r="CX41" s="32">
        <f>IF(AND($D66&lt;=CX$36,CX$36&lt;$E66),$E66-CX$36-IF(AND($D66&lt;CX$37,CX$37&lt;=$E66),$E66-CX$37,0),0)+IF(AND($D66&lt;CX$37,CX$37&lt;=$E66,CX$36&lt;$D66),CX$37-$D66,0)+IF(AND(CX$36&lt;$D66,CX$37&gt;$E66),$F66,0)</f>
        <v>0</v>
      </c>
      <c r="CY41" s="32">
        <f t="shared" ref="CY41:DL41" si="21">IF(AND($D66&lt;=CY$36,CY$36&lt;$E66),$E66-CY$36-IF(AND($D66&lt;CY$37,CY$37&lt;=$E66),$E66-CY$37,0),0)+IF(AND($D66&lt;CY$37,CY$37&lt;=$E66,CY$36&lt;$D66),CY$37-$D66,0)+IF(AND(CY$36&lt;$D66,CY$37&gt;$E66),$F66,0)</f>
        <v>0</v>
      </c>
      <c r="CZ41" s="32">
        <f t="shared" si="21"/>
        <v>0</v>
      </c>
      <c r="DA41" s="32">
        <f t="shared" si="21"/>
        <v>0</v>
      </c>
      <c r="DB41" s="32">
        <f t="shared" si="21"/>
        <v>0</v>
      </c>
      <c r="DC41" s="32">
        <f t="shared" si="21"/>
        <v>0</v>
      </c>
      <c r="DD41" s="32">
        <f t="shared" si="21"/>
        <v>0</v>
      </c>
      <c r="DE41" s="32">
        <f t="shared" si="21"/>
        <v>0</v>
      </c>
      <c r="DF41" s="32">
        <f t="shared" si="21"/>
        <v>0</v>
      </c>
      <c r="DG41" s="32">
        <f t="shared" si="21"/>
        <v>0</v>
      </c>
      <c r="DH41" s="32">
        <f t="shared" si="21"/>
        <v>0</v>
      </c>
      <c r="DI41" s="32">
        <f t="shared" si="21"/>
        <v>0</v>
      </c>
      <c r="DJ41" s="32">
        <f t="shared" si="21"/>
        <v>0</v>
      </c>
      <c r="DK41" s="32">
        <f t="shared" si="21"/>
        <v>0</v>
      </c>
      <c r="DL41" s="32">
        <f t="shared" si="21"/>
        <v>0</v>
      </c>
    </row>
    <row r="42" spans="1:116" ht="12.75" customHeight="1" thickBot="1" x14ac:dyDescent="0.25">
      <c r="A42" s="4"/>
      <c r="B42" s="5"/>
      <c r="C42" s="5"/>
      <c r="D42" s="5"/>
      <c r="E42" s="5"/>
      <c r="F42" s="5"/>
      <c r="G42" s="9"/>
      <c r="H42" s="113"/>
      <c r="I42" s="26"/>
      <c r="J42" s="5"/>
      <c r="K42" s="5"/>
      <c r="L42" s="5"/>
      <c r="M42" s="5"/>
      <c r="N42" s="5"/>
      <c r="O42" s="5"/>
      <c r="P42" s="9"/>
      <c r="X42" s="23"/>
      <c r="Y42" s="23"/>
      <c r="Z42" s="177"/>
      <c r="AA42" s="32">
        <f t="shared" ref="AA42:CL42" si="22">IF(AND($D67&lt;=AA$36,AA$36&lt;$E67),$E67-AA$36-IF(AND($D67&lt;AA$37,AA$37&lt;=$E67),$E67-AA$37,0),0)+IF(AND($D67&lt;AA$37,AA$37&lt;=$E67,AA$36&lt;$D67),AA$37-$D67,0)+IF(AND(AA$36&lt;$D67,AA$37&gt;$E67),$F67,0)</f>
        <v>0</v>
      </c>
      <c r="AB42" s="32">
        <f t="shared" si="22"/>
        <v>0</v>
      </c>
      <c r="AC42" s="32">
        <f t="shared" si="22"/>
        <v>0</v>
      </c>
      <c r="AD42" s="32">
        <f t="shared" si="22"/>
        <v>0</v>
      </c>
      <c r="AE42" s="32">
        <f t="shared" si="22"/>
        <v>0</v>
      </c>
      <c r="AF42" s="32">
        <f t="shared" si="22"/>
        <v>0</v>
      </c>
      <c r="AG42" s="32">
        <f t="shared" si="22"/>
        <v>0</v>
      </c>
      <c r="AH42" s="32">
        <f t="shared" si="22"/>
        <v>0</v>
      </c>
      <c r="AI42" s="32">
        <f t="shared" si="22"/>
        <v>0</v>
      </c>
      <c r="AJ42" s="32">
        <f t="shared" si="22"/>
        <v>0</v>
      </c>
      <c r="AK42" s="32">
        <f t="shared" si="22"/>
        <v>0</v>
      </c>
      <c r="AL42" s="32">
        <f t="shared" si="22"/>
        <v>0</v>
      </c>
      <c r="AM42" s="32">
        <f t="shared" si="22"/>
        <v>0</v>
      </c>
      <c r="AN42" s="32">
        <f t="shared" si="22"/>
        <v>0</v>
      </c>
      <c r="AO42" s="32">
        <f t="shared" si="22"/>
        <v>0</v>
      </c>
      <c r="AP42" s="32">
        <f t="shared" si="22"/>
        <v>0</v>
      </c>
      <c r="AQ42" s="32">
        <f t="shared" si="22"/>
        <v>0</v>
      </c>
      <c r="AR42" s="32">
        <f t="shared" si="22"/>
        <v>0</v>
      </c>
      <c r="AS42" s="32">
        <f t="shared" si="22"/>
        <v>0</v>
      </c>
      <c r="AT42" s="32">
        <f t="shared" si="22"/>
        <v>0</v>
      </c>
      <c r="AU42" s="32">
        <f t="shared" si="22"/>
        <v>0</v>
      </c>
      <c r="AV42" s="32">
        <f t="shared" si="22"/>
        <v>0</v>
      </c>
      <c r="AW42" s="32">
        <f t="shared" si="22"/>
        <v>0</v>
      </c>
      <c r="AX42" s="32">
        <f t="shared" si="22"/>
        <v>0</v>
      </c>
      <c r="AY42" s="32">
        <f t="shared" si="22"/>
        <v>0</v>
      </c>
      <c r="AZ42" s="32">
        <f t="shared" si="22"/>
        <v>0</v>
      </c>
      <c r="BA42" s="32">
        <f t="shared" si="22"/>
        <v>0</v>
      </c>
      <c r="BB42" s="32">
        <f t="shared" si="22"/>
        <v>0</v>
      </c>
      <c r="BC42" s="32">
        <f t="shared" si="22"/>
        <v>0</v>
      </c>
      <c r="BD42" s="32">
        <f t="shared" si="22"/>
        <v>0</v>
      </c>
      <c r="BE42" s="32">
        <f t="shared" si="22"/>
        <v>0</v>
      </c>
      <c r="BF42" s="32">
        <f t="shared" si="22"/>
        <v>0</v>
      </c>
      <c r="BG42" s="32">
        <f t="shared" si="22"/>
        <v>0</v>
      </c>
      <c r="BH42" s="32">
        <f t="shared" si="22"/>
        <v>0</v>
      </c>
      <c r="BI42" s="32">
        <f t="shared" si="22"/>
        <v>0</v>
      </c>
      <c r="BJ42" s="32">
        <f t="shared" si="22"/>
        <v>0</v>
      </c>
      <c r="BK42" s="32">
        <f t="shared" si="22"/>
        <v>0</v>
      </c>
      <c r="BL42" s="32">
        <f t="shared" si="22"/>
        <v>0</v>
      </c>
      <c r="BM42" s="32">
        <f t="shared" si="22"/>
        <v>0</v>
      </c>
      <c r="BN42" s="32">
        <f t="shared" si="22"/>
        <v>0</v>
      </c>
      <c r="BO42" s="32">
        <f t="shared" si="22"/>
        <v>0</v>
      </c>
      <c r="BP42" s="32">
        <f t="shared" si="22"/>
        <v>0</v>
      </c>
      <c r="BQ42" s="32">
        <f t="shared" si="22"/>
        <v>0</v>
      </c>
      <c r="BR42" s="32">
        <f t="shared" si="22"/>
        <v>0</v>
      </c>
      <c r="BS42" s="32">
        <f t="shared" si="22"/>
        <v>0</v>
      </c>
      <c r="BT42" s="32">
        <f t="shared" si="22"/>
        <v>0</v>
      </c>
      <c r="BU42" s="32">
        <f t="shared" si="22"/>
        <v>0</v>
      </c>
      <c r="BV42" s="32">
        <f t="shared" si="22"/>
        <v>0</v>
      </c>
      <c r="BW42" s="32">
        <f t="shared" si="22"/>
        <v>0</v>
      </c>
      <c r="BX42" s="32">
        <f t="shared" si="22"/>
        <v>0</v>
      </c>
      <c r="BY42" s="32">
        <f t="shared" si="22"/>
        <v>0</v>
      </c>
      <c r="BZ42" s="32">
        <f t="shared" si="22"/>
        <v>0</v>
      </c>
      <c r="CA42" s="32">
        <f t="shared" si="22"/>
        <v>0</v>
      </c>
      <c r="CB42" s="32">
        <f t="shared" si="22"/>
        <v>0</v>
      </c>
      <c r="CC42" s="32">
        <f t="shared" si="22"/>
        <v>0</v>
      </c>
      <c r="CD42" s="32">
        <f t="shared" si="22"/>
        <v>0</v>
      </c>
      <c r="CE42" s="32">
        <f t="shared" si="22"/>
        <v>0</v>
      </c>
      <c r="CF42" s="32">
        <f t="shared" si="22"/>
        <v>0</v>
      </c>
      <c r="CG42" s="32">
        <f t="shared" si="22"/>
        <v>0</v>
      </c>
      <c r="CH42" s="32">
        <f t="shared" si="22"/>
        <v>0</v>
      </c>
      <c r="CI42" s="32">
        <f t="shared" si="22"/>
        <v>0</v>
      </c>
      <c r="CJ42" s="32">
        <f t="shared" si="22"/>
        <v>0</v>
      </c>
      <c r="CK42" s="32">
        <f t="shared" si="22"/>
        <v>0</v>
      </c>
      <c r="CL42" s="32">
        <f t="shared" si="22"/>
        <v>0</v>
      </c>
      <c r="CM42" s="32">
        <f t="shared" ref="CM42:CW42" si="23">IF(AND($D67&lt;=CM$36,CM$36&lt;$E67),$E67-CM$36-IF(AND($D67&lt;CM$37,CM$37&lt;=$E67),$E67-CM$37,0),0)+IF(AND($D67&lt;CM$37,CM$37&lt;=$E67,CM$36&lt;$D67),CM$37-$D67,0)+IF(AND(CM$36&lt;$D67,CM$37&gt;$E67),$F67,0)</f>
        <v>0</v>
      </c>
      <c r="CN42" s="32">
        <f t="shared" si="23"/>
        <v>0</v>
      </c>
      <c r="CO42" s="32">
        <f t="shared" si="23"/>
        <v>0</v>
      </c>
      <c r="CP42" s="32">
        <f t="shared" si="23"/>
        <v>0</v>
      </c>
      <c r="CQ42" s="32">
        <f t="shared" si="23"/>
        <v>0</v>
      </c>
      <c r="CR42" s="32">
        <f t="shared" si="23"/>
        <v>0</v>
      </c>
      <c r="CS42" s="32">
        <f t="shared" si="23"/>
        <v>0</v>
      </c>
      <c r="CT42" s="32">
        <f t="shared" si="23"/>
        <v>0</v>
      </c>
      <c r="CU42" s="32">
        <f t="shared" si="23"/>
        <v>0</v>
      </c>
      <c r="CV42" s="32">
        <f t="shared" si="23"/>
        <v>0</v>
      </c>
      <c r="CW42" s="32">
        <f t="shared" si="23"/>
        <v>0</v>
      </c>
      <c r="CX42" s="32">
        <f>IF(AND($D67&lt;=CX$36,CX$36&lt;$E67),$E67-CX$36-IF(AND($D67&lt;CX$37,CX$37&lt;=$E67),$E67-CX$37,0),0)+IF(AND($D67&lt;CX$37,CX$37&lt;=$E67,CX$36&lt;$D67),CX$37-$D67,0)+IF(AND(CX$36&lt;$D67,CX$37&gt;$E67),$F67,0)</f>
        <v>0</v>
      </c>
      <c r="CY42" s="32">
        <f t="shared" ref="CY42:DL42" si="24">IF(AND($D67&lt;=CY$36,CY$36&lt;$E67),$E67-CY$36-IF(AND($D67&lt;CY$37,CY$37&lt;=$E67),$E67-CY$37,0),0)+IF(AND($D67&lt;CY$37,CY$37&lt;=$E67,CY$36&lt;$D67),CY$37-$D67,0)+IF(AND(CY$36&lt;$D67,CY$37&gt;$E67),$F67,0)</f>
        <v>0</v>
      </c>
      <c r="CZ42" s="32">
        <f t="shared" si="24"/>
        <v>0</v>
      </c>
      <c r="DA42" s="32">
        <f t="shared" si="24"/>
        <v>0</v>
      </c>
      <c r="DB42" s="32">
        <f t="shared" si="24"/>
        <v>0</v>
      </c>
      <c r="DC42" s="32">
        <f t="shared" si="24"/>
        <v>0</v>
      </c>
      <c r="DD42" s="32">
        <f t="shared" si="24"/>
        <v>0</v>
      </c>
      <c r="DE42" s="32">
        <f t="shared" si="24"/>
        <v>0</v>
      </c>
      <c r="DF42" s="32">
        <f t="shared" si="24"/>
        <v>0</v>
      </c>
      <c r="DG42" s="32">
        <f t="shared" si="24"/>
        <v>0</v>
      </c>
      <c r="DH42" s="32">
        <f t="shared" si="24"/>
        <v>0</v>
      </c>
      <c r="DI42" s="32">
        <f t="shared" si="24"/>
        <v>0</v>
      </c>
      <c r="DJ42" s="32">
        <f t="shared" si="24"/>
        <v>0</v>
      </c>
      <c r="DK42" s="32">
        <f t="shared" si="24"/>
        <v>0</v>
      </c>
      <c r="DL42" s="32">
        <f t="shared" si="24"/>
        <v>0</v>
      </c>
    </row>
    <row r="43" spans="1:116" ht="12.75" customHeight="1" x14ac:dyDescent="0.2">
      <c r="A43" s="15" t="s">
        <v>105</v>
      </c>
      <c r="B43" s="12"/>
      <c r="C43" s="12"/>
      <c r="D43" s="12"/>
      <c r="E43" s="12"/>
      <c r="F43" s="12"/>
      <c r="G43" s="93"/>
      <c r="H43" s="4"/>
      <c r="I43" s="5"/>
      <c r="J43" s="5"/>
      <c r="K43" s="5"/>
      <c r="L43" s="5"/>
      <c r="M43" s="5"/>
      <c r="N43" s="5"/>
      <c r="O43" s="5"/>
      <c r="P43" s="9"/>
      <c r="Q43" s="5"/>
      <c r="R43" s="46"/>
      <c r="AA43" s="23" t="str">
        <f>IF(SUM(AA38:AA42)&lt;&gt;(AA37-AA36),"NO","SI")</f>
        <v>SI</v>
      </c>
      <c r="AB43" s="23" t="str">
        <f>IF(SUM(AB38:AB42)&lt;&gt;(AB37-AB36),"NO","SI")</f>
        <v>SI</v>
      </c>
      <c r="AC43" s="23" t="str">
        <f>IF(SUM(AC38:AC42)&lt;&gt;(AC37-AC36),"NO","SI")</f>
        <v>SI</v>
      </c>
      <c r="AD43" s="23" t="str">
        <f t="shared" ref="AD43:CM43" si="25">IF(SUM(AD38:AD42)&lt;&gt;(AD37-AD36),"NO","SI")</f>
        <v>SI</v>
      </c>
      <c r="AE43" s="23" t="str">
        <f t="shared" si="25"/>
        <v>SI</v>
      </c>
      <c r="AF43" s="23" t="str">
        <f t="shared" si="25"/>
        <v>SI</v>
      </c>
      <c r="AG43" s="23" t="str">
        <f t="shared" si="25"/>
        <v>SI</v>
      </c>
      <c r="AH43" s="23" t="str">
        <f t="shared" si="25"/>
        <v>SI</v>
      </c>
      <c r="AI43" s="23" t="str">
        <f t="shared" si="25"/>
        <v>SI</v>
      </c>
      <c r="AJ43" s="23" t="str">
        <f t="shared" si="25"/>
        <v>SI</v>
      </c>
      <c r="AK43" s="23" t="str">
        <f t="shared" si="25"/>
        <v>SI</v>
      </c>
      <c r="AL43" s="23" t="str">
        <f t="shared" si="25"/>
        <v>SI</v>
      </c>
      <c r="AM43" s="23" t="str">
        <f t="shared" si="25"/>
        <v>SI</v>
      </c>
      <c r="AN43" s="23" t="str">
        <f t="shared" si="25"/>
        <v>SI</v>
      </c>
      <c r="AO43" s="23" t="str">
        <f t="shared" si="25"/>
        <v>SI</v>
      </c>
      <c r="AP43" s="23" t="str">
        <f t="shared" si="25"/>
        <v>SI</v>
      </c>
      <c r="AQ43" s="23" t="str">
        <f t="shared" si="25"/>
        <v>SI</v>
      </c>
      <c r="AR43" s="23" t="str">
        <f t="shared" si="25"/>
        <v>SI</v>
      </c>
      <c r="AS43" s="23" t="str">
        <f t="shared" si="25"/>
        <v>SI</v>
      </c>
      <c r="AT43" s="23" t="str">
        <f t="shared" si="25"/>
        <v>SI</v>
      </c>
      <c r="AU43" s="23" t="str">
        <f t="shared" si="25"/>
        <v>SI</v>
      </c>
      <c r="AV43" s="23" t="str">
        <f t="shared" si="25"/>
        <v>SI</v>
      </c>
      <c r="AW43" s="23" t="str">
        <f t="shared" si="25"/>
        <v>SI</v>
      </c>
      <c r="AX43" s="23" t="str">
        <f t="shared" si="25"/>
        <v>SI</v>
      </c>
      <c r="AY43" s="23" t="str">
        <f t="shared" si="25"/>
        <v>SI</v>
      </c>
      <c r="AZ43" s="23" t="str">
        <f t="shared" si="25"/>
        <v>SI</v>
      </c>
      <c r="BA43" s="23" t="str">
        <f t="shared" si="25"/>
        <v>SI</v>
      </c>
      <c r="BB43" s="23" t="str">
        <f t="shared" si="25"/>
        <v>SI</v>
      </c>
      <c r="BC43" s="23" t="str">
        <f t="shared" si="25"/>
        <v>SI</v>
      </c>
      <c r="BD43" s="23" t="str">
        <f t="shared" si="25"/>
        <v>SI</v>
      </c>
      <c r="BE43" s="23" t="str">
        <f t="shared" si="25"/>
        <v>SI</v>
      </c>
      <c r="BF43" s="23" t="str">
        <f t="shared" si="25"/>
        <v>SI</v>
      </c>
      <c r="BG43" s="23" t="str">
        <f t="shared" si="25"/>
        <v>SI</v>
      </c>
      <c r="BH43" s="23" t="str">
        <f t="shared" si="25"/>
        <v>SI</v>
      </c>
      <c r="BI43" s="23" t="str">
        <f t="shared" si="25"/>
        <v>SI</v>
      </c>
      <c r="BJ43" s="23" t="str">
        <f t="shared" si="25"/>
        <v>SI</v>
      </c>
      <c r="BK43" s="23" t="str">
        <f t="shared" si="25"/>
        <v>SI</v>
      </c>
      <c r="BL43" s="23" t="str">
        <f t="shared" si="25"/>
        <v>SI</v>
      </c>
      <c r="BM43" s="23" t="str">
        <f t="shared" si="25"/>
        <v>SI</v>
      </c>
      <c r="BN43" s="23" t="str">
        <f t="shared" si="25"/>
        <v>SI</v>
      </c>
      <c r="BO43" s="23" t="str">
        <f t="shared" si="25"/>
        <v>SI</v>
      </c>
      <c r="BP43" s="23" t="str">
        <f t="shared" si="25"/>
        <v>SI</v>
      </c>
      <c r="BQ43" s="23" t="str">
        <f t="shared" si="25"/>
        <v>SI</v>
      </c>
      <c r="BR43" s="23" t="str">
        <f t="shared" si="25"/>
        <v>SI</v>
      </c>
      <c r="BS43" s="23" t="str">
        <f t="shared" si="25"/>
        <v>SI</v>
      </c>
      <c r="BT43" s="23" t="str">
        <f t="shared" si="25"/>
        <v>SI</v>
      </c>
      <c r="BU43" s="23" t="str">
        <f t="shared" si="25"/>
        <v>SI</v>
      </c>
      <c r="BV43" s="23" t="str">
        <f t="shared" si="25"/>
        <v>SI</v>
      </c>
      <c r="BW43" s="23" t="str">
        <f t="shared" si="25"/>
        <v>SI</v>
      </c>
      <c r="BX43" s="23" t="str">
        <f t="shared" si="25"/>
        <v>SI</v>
      </c>
      <c r="BY43" s="23" t="str">
        <f t="shared" si="25"/>
        <v>SI</v>
      </c>
      <c r="BZ43" s="23" t="str">
        <f t="shared" si="25"/>
        <v>SI</v>
      </c>
      <c r="CA43" s="23" t="str">
        <f t="shared" si="25"/>
        <v>SI</v>
      </c>
      <c r="CB43" s="23" t="str">
        <f t="shared" si="25"/>
        <v>SI</v>
      </c>
      <c r="CC43" s="23" t="str">
        <f t="shared" si="25"/>
        <v>SI</v>
      </c>
      <c r="CD43" s="23" t="str">
        <f t="shared" si="25"/>
        <v>SI</v>
      </c>
      <c r="CE43" s="23" t="str">
        <f t="shared" si="25"/>
        <v>SI</v>
      </c>
      <c r="CF43" s="23" t="str">
        <f t="shared" si="25"/>
        <v>SI</v>
      </c>
      <c r="CG43" s="23" t="str">
        <f t="shared" si="25"/>
        <v>SI</v>
      </c>
      <c r="CH43" s="23" t="str">
        <f t="shared" si="25"/>
        <v>SI</v>
      </c>
      <c r="CI43" s="23" t="str">
        <f t="shared" si="25"/>
        <v>SI</v>
      </c>
      <c r="CJ43" s="23" t="str">
        <f t="shared" si="25"/>
        <v>SI</v>
      </c>
      <c r="CK43" s="23" t="str">
        <f t="shared" si="25"/>
        <v>SI</v>
      </c>
      <c r="CL43" s="23" t="str">
        <f t="shared" si="25"/>
        <v>SI</v>
      </c>
      <c r="CM43" s="23" t="str">
        <f t="shared" si="25"/>
        <v>SI</v>
      </c>
      <c r="CN43" s="23" t="str">
        <f t="shared" ref="CN43:DL43" si="26">IF(SUM(CN38:CN42)&lt;&gt;(CN37-CN36),"NO","SI")</f>
        <v>SI</v>
      </c>
      <c r="CO43" s="23" t="str">
        <f t="shared" si="26"/>
        <v>SI</v>
      </c>
      <c r="CP43" s="23" t="str">
        <f t="shared" si="26"/>
        <v>SI</v>
      </c>
      <c r="CQ43" s="23" t="str">
        <f t="shared" si="26"/>
        <v>SI</v>
      </c>
      <c r="CR43" s="23" t="str">
        <f t="shared" si="26"/>
        <v>SI</v>
      </c>
      <c r="CS43" s="23" t="str">
        <f t="shared" si="26"/>
        <v>SI</v>
      </c>
      <c r="CT43" s="23" t="str">
        <f t="shared" si="26"/>
        <v>SI</v>
      </c>
      <c r="CU43" s="23" t="str">
        <f t="shared" si="26"/>
        <v>SI</v>
      </c>
      <c r="CV43" s="23" t="str">
        <f t="shared" si="26"/>
        <v>SI</v>
      </c>
      <c r="CW43" s="23" t="str">
        <f t="shared" si="26"/>
        <v>SI</v>
      </c>
      <c r="CX43" s="23" t="str">
        <f t="shared" si="26"/>
        <v>SI</v>
      </c>
      <c r="CY43" s="23" t="str">
        <f t="shared" si="26"/>
        <v>SI</v>
      </c>
      <c r="CZ43" s="23" t="str">
        <f t="shared" si="26"/>
        <v>SI</v>
      </c>
      <c r="DA43" s="23" t="str">
        <f t="shared" si="26"/>
        <v>SI</v>
      </c>
      <c r="DB43" s="23" t="str">
        <f t="shared" si="26"/>
        <v>SI</v>
      </c>
      <c r="DC43" s="23" t="str">
        <f t="shared" si="26"/>
        <v>SI</v>
      </c>
      <c r="DD43" s="23" t="str">
        <f t="shared" si="26"/>
        <v>SI</v>
      </c>
      <c r="DE43" s="23" t="str">
        <f t="shared" si="26"/>
        <v>SI</v>
      </c>
      <c r="DF43" s="23" t="str">
        <f t="shared" si="26"/>
        <v>SI</v>
      </c>
      <c r="DG43" s="23" t="str">
        <f t="shared" si="26"/>
        <v>SI</v>
      </c>
      <c r="DH43" s="23" t="str">
        <f t="shared" si="26"/>
        <v>SI</v>
      </c>
      <c r="DI43" s="23" t="str">
        <f t="shared" si="26"/>
        <v>SI</v>
      </c>
      <c r="DJ43" s="23" t="str">
        <f t="shared" si="26"/>
        <v>SI</v>
      </c>
      <c r="DK43" s="23" t="str">
        <f t="shared" si="26"/>
        <v>SI</v>
      </c>
      <c r="DL43" s="23" t="str">
        <f t="shared" si="26"/>
        <v>SI</v>
      </c>
    </row>
    <row r="44" spans="1:116" ht="12.75" customHeight="1" x14ac:dyDescent="0.2">
      <c r="A44" s="4"/>
      <c r="B44" s="5"/>
      <c r="C44" s="5"/>
      <c r="D44" s="5"/>
      <c r="E44" s="5"/>
      <c r="F44" s="5"/>
      <c r="G44" s="9"/>
      <c r="H44" s="4"/>
      <c r="I44" s="5"/>
      <c r="J44" s="5"/>
      <c r="K44" s="5"/>
      <c r="L44" s="5"/>
      <c r="M44" s="5"/>
      <c r="N44" s="5"/>
      <c r="O44" s="5"/>
      <c r="P44" s="9"/>
      <c r="Q44" s="5"/>
      <c r="R44" s="5"/>
      <c r="Z44" s="66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</row>
    <row r="45" spans="1:116" ht="12.75" customHeight="1" x14ac:dyDescent="0.2">
      <c r="A45" s="115" t="s">
        <v>13</v>
      </c>
      <c r="B45" s="5"/>
      <c r="C45" s="5"/>
      <c r="D45" s="5"/>
      <c r="E45" s="5"/>
      <c r="F45" s="5"/>
      <c r="G45" s="9"/>
      <c r="H45" s="4"/>
      <c r="I45" s="5"/>
      <c r="J45" s="5"/>
      <c r="K45" s="5"/>
      <c r="L45" s="5"/>
      <c r="M45" s="5"/>
      <c r="N45" s="5"/>
      <c r="O45" s="5"/>
      <c r="P45" s="9"/>
      <c r="Q45" s="5"/>
      <c r="R45" s="5"/>
    </row>
    <row r="46" spans="1:116" ht="12.75" customHeight="1" x14ac:dyDescent="0.2">
      <c r="A46" s="158">
        <v>6.5</v>
      </c>
      <c r="B46" s="34" t="s">
        <v>11</v>
      </c>
      <c r="C46" s="5"/>
      <c r="D46" s="5"/>
      <c r="E46" s="5"/>
      <c r="F46" s="5"/>
      <c r="G46" s="9"/>
      <c r="H46" s="4"/>
      <c r="I46" s="5"/>
      <c r="J46" s="5"/>
      <c r="K46" s="5"/>
      <c r="L46" s="5"/>
      <c r="M46" s="5"/>
      <c r="N46" s="5"/>
      <c r="O46" s="5"/>
      <c r="P46" s="9"/>
      <c r="Q46" s="5"/>
      <c r="R46" s="5"/>
      <c r="X46" s="178" t="s">
        <v>20</v>
      </c>
      <c r="Y46" t="s">
        <v>55</v>
      </c>
      <c r="Z46" t="s">
        <v>52</v>
      </c>
      <c r="AA46">
        <f t="shared" ref="AA46:BF46" si="27">LOOKUP(AA35,$E63:$E67,$T62:$T66)+(AA35-LOOKUP(AA35,$E63:$E67))*LOOKUP(AA35,$E63:$E67,$G63:$G67)-MAX(0,AA35-$A46)*10</f>
        <v>194</v>
      </c>
      <c r="AB46">
        <f t="shared" si="27"/>
        <v>198.5</v>
      </c>
      <c r="AC46">
        <f t="shared" si="27"/>
        <v>203</v>
      </c>
      <c r="AD46">
        <f t="shared" si="27"/>
        <v>207.5</v>
      </c>
      <c r="AE46">
        <f t="shared" si="27"/>
        <v>212</v>
      </c>
      <c r="AF46">
        <f t="shared" si="27"/>
        <v>216.5</v>
      </c>
      <c r="AG46">
        <f t="shared" si="27"/>
        <v>221</v>
      </c>
      <c r="AH46">
        <f t="shared" si="27"/>
        <v>225.5</v>
      </c>
      <c r="AI46">
        <f t="shared" si="27"/>
        <v>230</v>
      </c>
      <c r="AJ46">
        <f t="shared" si="27"/>
        <v>234.5</v>
      </c>
      <c r="AK46">
        <f t="shared" si="27"/>
        <v>239</v>
      </c>
      <c r="AL46">
        <f t="shared" si="27"/>
        <v>243.5</v>
      </c>
      <c r="AM46">
        <f t="shared" si="27"/>
        <v>248</v>
      </c>
      <c r="AN46">
        <f t="shared" si="27"/>
        <v>252.5</v>
      </c>
      <c r="AO46">
        <f t="shared" si="27"/>
        <v>257</v>
      </c>
      <c r="AP46">
        <f t="shared" si="27"/>
        <v>194</v>
      </c>
      <c r="AQ46">
        <f t="shared" si="27"/>
        <v>198.5</v>
      </c>
      <c r="AR46">
        <f t="shared" si="27"/>
        <v>203</v>
      </c>
      <c r="AS46">
        <f t="shared" si="27"/>
        <v>207.5</v>
      </c>
      <c r="AT46">
        <f t="shared" si="27"/>
        <v>212</v>
      </c>
      <c r="AU46">
        <f t="shared" si="27"/>
        <v>216.5</v>
      </c>
      <c r="AV46">
        <f t="shared" si="27"/>
        <v>221</v>
      </c>
      <c r="AW46">
        <f t="shared" si="27"/>
        <v>225.5</v>
      </c>
      <c r="AX46">
        <f t="shared" si="27"/>
        <v>230</v>
      </c>
      <c r="AY46">
        <f t="shared" si="27"/>
        <v>234.5</v>
      </c>
      <c r="AZ46">
        <f t="shared" si="27"/>
        <v>239</v>
      </c>
      <c r="BA46">
        <f t="shared" si="27"/>
        <v>243.5</v>
      </c>
      <c r="BB46">
        <f t="shared" si="27"/>
        <v>248</v>
      </c>
      <c r="BC46">
        <f t="shared" si="27"/>
        <v>252.5</v>
      </c>
      <c r="BD46">
        <f t="shared" si="27"/>
        <v>257</v>
      </c>
      <c r="BE46">
        <f t="shared" si="27"/>
        <v>194</v>
      </c>
      <c r="BF46">
        <f t="shared" si="27"/>
        <v>198.5</v>
      </c>
      <c r="BG46">
        <f t="shared" ref="BG46:CL46" si="28">LOOKUP(BG35,$E63:$E67,$T62:$T66)+(BG35-LOOKUP(BG35,$E63:$E67))*LOOKUP(BG35,$E63:$E67,$G63:$G67)-MAX(0,BG35-$A46)*10</f>
        <v>203</v>
      </c>
      <c r="BH46">
        <f t="shared" si="28"/>
        <v>207.5</v>
      </c>
      <c r="BI46">
        <f t="shared" si="28"/>
        <v>212</v>
      </c>
      <c r="BJ46">
        <f t="shared" si="28"/>
        <v>216.5</v>
      </c>
      <c r="BK46">
        <f t="shared" si="28"/>
        <v>221</v>
      </c>
      <c r="BL46">
        <f t="shared" si="28"/>
        <v>225.5</v>
      </c>
      <c r="BM46">
        <f t="shared" si="28"/>
        <v>230</v>
      </c>
      <c r="BN46">
        <f t="shared" si="28"/>
        <v>234.5</v>
      </c>
      <c r="BO46">
        <f t="shared" si="28"/>
        <v>239</v>
      </c>
      <c r="BP46">
        <f t="shared" si="28"/>
        <v>243.5</v>
      </c>
      <c r="BQ46">
        <f t="shared" si="28"/>
        <v>248</v>
      </c>
      <c r="BR46">
        <f t="shared" si="28"/>
        <v>252.5</v>
      </c>
      <c r="BS46">
        <f t="shared" si="28"/>
        <v>257</v>
      </c>
      <c r="BT46">
        <f t="shared" si="28"/>
        <v>194</v>
      </c>
      <c r="BU46">
        <f t="shared" si="28"/>
        <v>198.5</v>
      </c>
      <c r="BV46">
        <f t="shared" si="28"/>
        <v>203</v>
      </c>
      <c r="BW46">
        <f t="shared" si="28"/>
        <v>207.5</v>
      </c>
      <c r="BX46">
        <f t="shared" si="28"/>
        <v>212</v>
      </c>
      <c r="BY46">
        <f t="shared" si="28"/>
        <v>216.5</v>
      </c>
      <c r="BZ46">
        <f t="shared" si="28"/>
        <v>221</v>
      </c>
      <c r="CA46">
        <f t="shared" si="28"/>
        <v>225.5</v>
      </c>
      <c r="CB46">
        <f t="shared" si="28"/>
        <v>230</v>
      </c>
      <c r="CC46">
        <f t="shared" si="28"/>
        <v>234.5</v>
      </c>
      <c r="CD46">
        <f t="shared" si="28"/>
        <v>239</v>
      </c>
      <c r="CE46">
        <f t="shared" si="28"/>
        <v>243.5</v>
      </c>
      <c r="CF46">
        <f t="shared" si="28"/>
        <v>248</v>
      </c>
      <c r="CG46">
        <f t="shared" si="28"/>
        <v>252.5</v>
      </c>
      <c r="CH46">
        <f t="shared" si="28"/>
        <v>257</v>
      </c>
      <c r="CI46">
        <f t="shared" si="28"/>
        <v>194</v>
      </c>
      <c r="CJ46">
        <f t="shared" si="28"/>
        <v>198.5</v>
      </c>
      <c r="CK46">
        <f t="shared" si="28"/>
        <v>203</v>
      </c>
      <c r="CL46">
        <f t="shared" si="28"/>
        <v>207.5</v>
      </c>
      <c r="CM46">
        <f t="shared" ref="CM46:DL46" si="29">LOOKUP(CM35,$E63:$E67,$T62:$T66)+(CM35-LOOKUP(CM35,$E63:$E67))*LOOKUP(CM35,$E63:$E67,$G63:$G67)-MAX(0,CM35-$A46)*10</f>
        <v>212</v>
      </c>
      <c r="CN46">
        <f t="shared" si="29"/>
        <v>216.5</v>
      </c>
      <c r="CO46">
        <f t="shared" si="29"/>
        <v>221</v>
      </c>
      <c r="CP46">
        <f t="shared" si="29"/>
        <v>225.5</v>
      </c>
      <c r="CQ46">
        <f t="shared" si="29"/>
        <v>230</v>
      </c>
      <c r="CR46">
        <f t="shared" si="29"/>
        <v>234.5</v>
      </c>
      <c r="CS46">
        <f t="shared" si="29"/>
        <v>239</v>
      </c>
      <c r="CT46">
        <f t="shared" si="29"/>
        <v>243.5</v>
      </c>
      <c r="CU46">
        <f t="shared" si="29"/>
        <v>248</v>
      </c>
      <c r="CV46">
        <f t="shared" si="29"/>
        <v>252.5</v>
      </c>
      <c r="CW46">
        <f t="shared" si="29"/>
        <v>257</v>
      </c>
      <c r="CX46">
        <f t="shared" si="29"/>
        <v>194</v>
      </c>
      <c r="CY46">
        <f t="shared" si="29"/>
        <v>198.5</v>
      </c>
      <c r="CZ46">
        <f t="shared" si="29"/>
        <v>203</v>
      </c>
      <c r="DA46">
        <f t="shared" si="29"/>
        <v>207.5</v>
      </c>
      <c r="DB46">
        <f t="shared" si="29"/>
        <v>212</v>
      </c>
      <c r="DC46">
        <f t="shared" si="29"/>
        <v>216.5</v>
      </c>
      <c r="DD46">
        <f t="shared" si="29"/>
        <v>221</v>
      </c>
      <c r="DE46">
        <f t="shared" si="29"/>
        <v>225.5</v>
      </c>
      <c r="DF46">
        <f t="shared" si="29"/>
        <v>230</v>
      </c>
      <c r="DG46">
        <f t="shared" si="29"/>
        <v>234.5</v>
      </c>
      <c r="DH46">
        <f t="shared" si="29"/>
        <v>239</v>
      </c>
      <c r="DI46">
        <f t="shared" si="29"/>
        <v>243.5</v>
      </c>
      <c r="DJ46">
        <f t="shared" si="29"/>
        <v>248</v>
      </c>
      <c r="DK46">
        <f t="shared" si="29"/>
        <v>252.5</v>
      </c>
      <c r="DL46">
        <f t="shared" si="29"/>
        <v>257</v>
      </c>
    </row>
    <row r="47" spans="1:116" ht="12.75" customHeight="1" x14ac:dyDescent="0.2">
      <c r="A47" s="4"/>
      <c r="B47" s="5"/>
      <c r="C47" s="5"/>
      <c r="D47" s="5"/>
      <c r="E47" s="5"/>
      <c r="F47" s="5"/>
      <c r="G47" s="9"/>
      <c r="H47" s="4"/>
      <c r="I47" s="5"/>
      <c r="J47" s="5"/>
      <c r="K47" s="5"/>
      <c r="L47" s="5"/>
      <c r="M47" s="5"/>
      <c r="N47" s="5"/>
      <c r="O47" s="5"/>
      <c r="P47" s="9"/>
      <c r="Q47" s="5"/>
      <c r="R47" s="5"/>
      <c r="S47" s="46"/>
      <c r="X47" s="178"/>
      <c r="Z47" t="s">
        <v>53</v>
      </c>
      <c r="AA47" s="23">
        <f t="shared" ref="AA47:BF47" si="30">(AA38*$L63+AA39*$L64+AA40*$L65+AA41*$L66+AA42*$L67)/(AA37-AA36)</f>
        <v>0</v>
      </c>
      <c r="AB47" s="23">
        <f t="shared" si="30"/>
        <v>0</v>
      </c>
      <c r="AC47" s="23">
        <f t="shared" si="30"/>
        <v>0</v>
      </c>
      <c r="AD47" s="23">
        <f t="shared" si="30"/>
        <v>0</v>
      </c>
      <c r="AE47" s="23">
        <f t="shared" si="30"/>
        <v>0</v>
      </c>
      <c r="AF47" s="23">
        <f t="shared" si="30"/>
        <v>0</v>
      </c>
      <c r="AG47" s="23">
        <f t="shared" si="30"/>
        <v>0</v>
      </c>
      <c r="AH47" s="23">
        <f t="shared" si="30"/>
        <v>0</v>
      </c>
      <c r="AI47" s="23">
        <f t="shared" si="30"/>
        <v>0</v>
      </c>
      <c r="AJ47" s="23">
        <f t="shared" si="30"/>
        <v>0</v>
      </c>
      <c r="AK47" s="23">
        <f t="shared" si="30"/>
        <v>0</v>
      </c>
      <c r="AL47" s="23">
        <f t="shared" si="30"/>
        <v>0</v>
      </c>
      <c r="AM47" s="23">
        <f t="shared" si="30"/>
        <v>0</v>
      </c>
      <c r="AN47" s="23">
        <f t="shared" si="30"/>
        <v>0</v>
      </c>
      <c r="AO47" s="23">
        <f t="shared" si="30"/>
        <v>0</v>
      </c>
      <c r="AP47" s="23">
        <f t="shared" si="30"/>
        <v>0</v>
      </c>
      <c r="AQ47" s="23">
        <f t="shared" si="30"/>
        <v>0</v>
      </c>
      <c r="AR47" s="23">
        <f t="shared" si="30"/>
        <v>0</v>
      </c>
      <c r="AS47" s="23">
        <f t="shared" si="30"/>
        <v>0</v>
      </c>
      <c r="AT47" s="23">
        <f t="shared" si="30"/>
        <v>0</v>
      </c>
      <c r="AU47" s="23">
        <f t="shared" si="30"/>
        <v>0</v>
      </c>
      <c r="AV47" s="23">
        <f t="shared" si="30"/>
        <v>0</v>
      </c>
      <c r="AW47" s="23">
        <f t="shared" si="30"/>
        <v>0</v>
      </c>
      <c r="AX47" s="23">
        <f t="shared" si="30"/>
        <v>0</v>
      </c>
      <c r="AY47" s="23">
        <f t="shared" si="30"/>
        <v>0</v>
      </c>
      <c r="AZ47" s="23">
        <f t="shared" si="30"/>
        <v>0</v>
      </c>
      <c r="BA47" s="23">
        <f t="shared" si="30"/>
        <v>0</v>
      </c>
      <c r="BB47" s="23">
        <f t="shared" si="30"/>
        <v>0</v>
      </c>
      <c r="BC47" s="23">
        <f t="shared" si="30"/>
        <v>0</v>
      </c>
      <c r="BD47" s="23">
        <f t="shared" si="30"/>
        <v>0</v>
      </c>
      <c r="BE47" s="23">
        <f t="shared" si="30"/>
        <v>0</v>
      </c>
      <c r="BF47" s="23">
        <f t="shared" si="30"/>
        <v>0</v>
      </c>
      <c r="BG47" s="23">
        <f t="shared" ref="BG47:CL47" si="31">(BG38*$L63+BG39*$L64+BG40*$L65+BG41*$L66+BG42*$L67)/(BG37-BG36)</f>
        <v>0</v>
      </c>
      <c r="BH47" s="23">
        <f t="shared" si="31"/>
        <v>0</v>
      </c>
      <c r="BI47" s="23">
        <f t="shared" si="31"/>
        <v>0</v>
      </c>
      <c r="BJ47" s="23">
        <f t="shared" si="31"/>
        <v>0</v>
      </c>
      <c r="BK47" s="23">
        <f t="shared" si="31"/>
        <v>0</v>
      </c>
      <c r="BL47" s="23">
        <f t="shared" si="31"/>
        <v>0</v>
      </c>
      <c r="BM47" s="23">
        <f t="shared" si="31"/>
        <v>0</v>
      </c>
      <c r="BN47" s="23">
        <f t="shared" si="31"/>
        <v>0</v>
      </c>
      <c r="BO47" s="23">
        <f t="shared" si="31"/>
        <v>0</v>
      </c>
      <c r="BP47" s="23">
        <f t="shared" si="31"/>
        <v>0</v>
      </c>
      <c r="BQ47" s="23">
        <f t="shared" si="31"/>
        <v>0</v>
      </c>
      <c r="BR47" s="23">
        <f t="shared" si="31"/>
        <v>0</v>
      </c>
      <c r="BS47" s="23">
        <f t="shared" si="31"/>
        <v>0</v>
      </c>
      <c r="BT47" s="23">
        <f t="shared" si="31"/>
        <v>0</v>
      </c>
      <c r="BU47" s="23">
        <f t="shared" si="31"/>
        <v>0</v>
      </c>
      <c r="BV47" s="23">
        <f t="shared" si="31"/>
        <v>0</v>
      </c>
      <c r="BW47" s="23">
        <f t="shared" si="31"/>
        <v>0</v>
      </c>
      <c r="BX47" s="23">
        <f t="shared" si="31"/>
        <v>0</v>
      </c>
      <c r="BY47" s="23">
        <f t="shared" si="31"/>
        <v>0</v>
      </c>
      <c r="BZ47" s="23">
        <f t="shared" si="31"/>
        <v>0</v>
      </c>
      <c r="CA47" s="23">
        <f t="shared" si="31"/>
        <v>0</v>
      </c>
      <c r="CB47" s="23">
        <f t="shared" si="31"/>
        <v>0</v>
      </c>
      <c r="CC47" s="23">
        <f t="shared" si="31"/>
        <v>0</v>
      </c>
      <c r="CD47" s="23">
        <f t="shared" si="31"/>
        <v>0</v>
      </c>
      <c r="CE47" s="23">
        <f t="shared" si="31"/>
        <v>0</v>
      </c>
      <c r="CF47" s="23">
        <f t="shared" si="31"/>
        <v>0</v>
      </c>
      <c r="CG47" s="23">
        <f t="shared" si="31"/>
        <v>0</v>
      </c>
      <c r="CH47" s="23">
        <f t="shared" si="31"/>
        <v>0</v>
      </c>
      <c r="CI47" s="23">
        <f t="shared" si="31"/>
        <v>0.11321817562443279</v>
      </c>
      <c r="CJ47" s="23">
        <f t="shared" si="31"/>
        <v>0</v>
      </c>
      <c r="CK47" s="23">
        <f t="shared" si="31"/>
        <v>0</v>
      </c>
      <c r="CL47" s="23">
        <f t="shared" si="31"/>
        <v>0</v>
      </c>
      <c r="CM47" s="23">
        <f t="shared" ref="CM47:DL47" si="32">(CM38*$L63+CM39*$L64+CM40*$L65+CM41*$L66+CM42*$L67)/(CM37-CM36)</f>
        <v>0</v>
      </c>
      <c r="CN47" s="23">
        <f t="shared" si="32"/>
        <v>0</v>
      </c>
      <c r="CO47" s="23">
        <f t="shared" si="32"/>
        <v>0</v>
      </c>
      <c r="CP47" s="23">
        <f t="shared" si="32"/>
        <v>0</v>
      </c>
      <c r="CQ47" s="23">
        <f t="shared" si="32"/>
        <v>0</v>
      </c>
      <c r="CR47" s="23">
        <f t="shared" si="32"/>
        <v>0</v>
      </c>
      <c r="CS47" s="23">
        <f t="shared" si="32"/>
        <v>0</v>
      </c>
      <c r="CT47" s="23">
        <f t="shared" si="32"/>
        <v>0</v>
      </c>
      <c r="CU47" s="23">
        <f t="shared" si="32"/>
        <v>0</v>
      </c>
      <c r="CV47" s="23">
        <f t="shared" si="32"/>
        <v>0</v>
      </c>
      <c r="CW47" s="23">
        <f t="shared" si="32"/>
        <v>0</v>
      </c>
      <c r="CX47" s="23">
        <f t="shared" si="32"/>
        <v>0.42771310791452583</v>
      </c>
      <c r="CY47" s="23">
        <f t="shared" si="32"/>
        <v>0</v>
      </c>
      <c r="CZ47" s="23">
        <f t="shared" si="32"/>
        <v>0</v>
      </c>
      <c r="DA47" s="23">
        <f t="shared" si="32"/>
        <v>0</v>
      </c>
      <c r="DB47" s="23">
        <f t="shared" si="32"/>
        <v>0</v>
      </c>
      <c r="DC47" s="23">
        <f t="shared" si="32"/>
        <v>0</v>
      </c>
      <c r="DD47" s="23">
        <f t="shared" si="32"/>
        <v>0</v>
      </c>
      <c r="DE47" s="23">
        <f t="shared" si="32"/>
        <v>0</v>
      </c>
      <c r="DF47" s="23">
        <f t="shared" si="32"/>
        <v>0</v>
      </c>
      <c r="DG47" s="23">
        <f t="shared" si="32"/>
        <v>0</v>
      </c>
      <c r="DH47" s="23">
        <f t="shared" si="32"/>
        <v>0</v>
      </c>
      <c r="DI47" s="23">
        <f t="shared" si="32"/>
        <v>0</v>
      </c>
      <c r="DJ47" s="23">
        <f t="shared" si="32"/>
        <v>0</v>
      </c>
      <c r="DK47" s="23">
        <f t="shared" si="32"/>
        <v>0</v>
      </c>
      <c r="DL47" s="23">
        <f t="shared" si="32"/>
        <v>0</v>
      </c>
    </row>
    <row r="48" spans="1:116" ht="12.75" customHeight="1" x14ac:dyDescent="0.2">
      <c r="A48" s="119" t="s">
        <v>80</v>
      </c>
      <c r="B48" s="35"/>
      <c r="C48" s="5"/>
      <c r="D48" s="5"/>
      <c r="E48" s="5"/>
      <c r="F48" s="5"/>
      <c r="G48" s="9"/>
      <c r="H48" s="4"/>
      <c r="I48" s="5"/>
      <c r="J48" s="5"/>
      <c r="K48" s="5"/>
      <c r="L48" s="5"/>
      <c r="M48" s="5"/>
      <c r="N48" s="5"/>
      <c r="O48" s="5"/>
      <c r="P48" s="9"/>
      <c r="Q48" s="5"/>
      <c r="R48" s="5"/>
      <c r="S48" s="46"/>
      <c r="X48" s="178"/>
      <c r="Z48" t="s">
        <v>54</v>
      </c>
      <c r="AA48" s="32">
        <f t="shared" ref="AA48:BF48" si="33">MIN(20,3*AA46*AA47/1000)</f>
        <v>0</v>
      </c>
      <c r="AB48" s="32">
        <f t="shared" si="33"/>
        <v>0</v>
      </c>
      <c r="AC48" s="32">
        <f t="shared" si="33"/>
        <v>0</v>
      </c>
      <c r="AD48" s="32">
        <f t="shared" si="33"/>
        <v>0</v>
      </c>
      <c r="AE48" s="32">
        <f t="shared" si="33"/>
        <v>0</v>
      </c>
      <c r="AF48" s="32">
        <f t="shared" si="33"/>
        <v>0</v>
      </c>
      <c r="AG48" s="32">
        <f t="shared" si="33"/>
        <v>0</v>
      </c>
      <c r="AH48" s="32">
        <f t="shared" si="33"/>
        <v>0</v>
      </c>
      <c r="AI48" s="32">
        <f t="shared" si="33"/>
        <v>0</v>
      </c>
      <c r="AJ48" s="32">
        <f t="shared" si="33"/>
        <v>0</v>
      </c>
      <c r="AK48" s="32">
        <f t="shared" si="33"/>
        <v>0</v>
      </c>
      <c r="AL48" s="32">
        <f t="shared" si="33"/>
        <v>0</v>
      </c>
      <c r="AM48" s="32">
        <f t="shared" si="33"/>
        <v>0</v>
      </c>
      <c r="AN48" s="32">
        <f t="shared" si="33"/>
        <v>0</v>
      </c>
      <c r="AO48" s="32">
        <f t="shared" si="33"/>
        <v>0</v>
      </c>
      <c r="AP48" s="32">
        <f t="shared" si="33"/>
        <v>0</v>
      </c>
      <c r="AQ48" s="32">
        <f t="shared" si="33"/>
        <v>0</v>
      </c>
      <c r="AR48" s="32">
        <f t="shared" si="33"/>
        <v>0</v>
      </c>
      <c r="AS48" s="32">
        <f t="shared" si="33"/>
        <v>0</v>
      </c>
      <c r="AT48" s="32">
        <f t="shared" si="33"/>
        <v>0</v>
      </c>
      <c r="AU48" s="32">
        <f t="shared" si="33"/>
        <v>0</v>
      </c>
      <c r="AV48" s="32">
        <f t="shared" si="33"/>
        <v>0</v>
      </c>
      <c r="AW48" s="32">
        <f t="shared" si="33"/>
        <v>0</v>
      </c>
      <c r="AX48" s="32">
        <f t="shared" si="33"/>
        <v>0</v>
      </c>
      <c r="AY48" s="32">
        <f t="shared" si="33"/>
        <v>0</v>
      </c>
      <c r="AZ48" s="32">
        <f t="shared" si="33"/>
        <v>0</v>
      </c>
      <c r="BA48" s="32">
        <f t="shared" si="33"/>
        <v>0</v>
      </c>
      <c r="BB48" s="32">
        <f t="shared" si="33"/>
        <v>0</v>
      </c>
      <c r="BC48" s="32">
        <f t="shared" si="33"/>
        <v>0</v>
      </c>
      <c r="BD48" s="32">
        <f t="shared" si="33"/>
        <v>0</v>
      </c>
      <c r="BE48" s="32">
        <f t="shared" si="33"/>
        <v>0</v>
      </c>
      <c r="BF48" s="32">
        <f t="shared" si="33"/>
        <v>0</v>
      </c>
      <c r="BG48" s="32">
        <f t="shared" ref="BG48:CL48" si="34">MIN(20,3*BG46*BG47/1000)</f>
        <v>0</v>
      </c>
      <c r="BH48" s="32">
        <f t="shared" si="34"/>
        <v>0</v>
      </c>
      <c r="BI48" s="32">
        <f t="shared" si="34"/>
        <v>0</v>
      </c>
      <c r="BJ48" s="32">
        <f t="shared" si="34"/>
        <v>0</v>
      </c>
      <c r="BK48" s="32">
        <f t="shared" si="34"/>
        <v>0</v>
      </c>
      <c r="BL48" s="32">
        <f t="shared" si="34"/>
        <v>0</v>
      </c>
      <c r="BM48" s="32">
        <f t="shared" si="34"/>
        <v>0</v>
      </c>
      <c r="BN48" s="32">
        <f t="shared" si="34"/>
        <v>0</v>
      </c>
      <c r="BO48" s="32">
        <f t="shared" si="34"/>
        <v>0</v>
      </c>
      <c r="BP48" s="32">
        <f t="shared" si="34"/>
        <v>0</v>
      </c>
      <c r="BQ48" s="32">
        <f t="shared" si="34"/>
        <v>0</v>
      </c>
      <c r="BR48" s="32">
        <f t="shared" si="34"/>
        <v>0</v>
      </c>
      <c r="BS48" s="32">
        <f t="shared" si="34"/>
        <v>0</v>
      </c>
      <c r="BT48" s="32">
        <f t="shared" si="34"/>
        <v>0</v>
      </c>
      <c r="BU48" s="32">
        <f t="shared" si="34"/>
        <v>0</v>
      </c>
      <c r="BV48" s="32">
        <f t="shared" si="34"/>
        <v>0</v>
      </c>
      <c r="BW48" s="32">
        <f t="shared" si="34"/>
        <v>0</v>
      </c>
      <c r="BX48" s="32">
        <f t="shared" si="34"/>
        <v>0</v>
      </c>
      <c r="BY48" s="32">
        <f t="shared" si="34"/>
        <v>0</v>
      </c>
      <c r="BZ48" s="32">
        <f t="shared" si="34"/>
        <v>0</v>
      </c>
      <c r="CA48" s="32">
        <f t="shared" si="34"/>
        <v>0</v>
      </c>
      <c r="CB48" s="32">
        <f t="shared" si="34"/>
        <v>0</v>
      </c>
      <c r="CC48" s="32">
        <f t="shared" si="34"/>
        <v>0</v>
      </c>
      <c r="CD48" s="32">
        <f t="shared" si="34"/>
        <v>0</v>
      </c>
      <c r="CE48" s="32">
        <f t="shared" si="34"/>
        <v>0</v>
      </c>
      <c r="CF48" s="32">
        <f t="shared" si="34"/>
        <v>0</v>
      </c>
      <c r="CG48" s="32">
        <f t="shared" si="34"/>
        <v>0</v>
      </c>
      <c r="CH48" s="32">
        <f t="shared" si="34"/>
        <v>0</v>
      </c>
      <c r="CI48" s="32">
        <f t="shared" si="34"/>
        <v>6.5892978213419884E-2</v>
      </c>
      <c r="CJ48" s="32">
        <f t="shared" si="34"/>
        <v>0</v>
      </c>
      <c r="CK48" s="32">
        <f t="shared" si="34"/>
        <v>0</v>
      </c>
      <c r="CL48" s="32">
        <f t="shared" si="34"/>
        <v>0</v>
      </c>
      <c r="CM48" s="32">
        <f t="shared" ref="CM48:DL48" si="35">MIN(20,3*CM46*CM47/1000)</f>
        <v>0</v>
      </c>
      <c r="CN48" s="32">
        <f t="shared" si="35"/>
        <v>0</v>
      </c>
      <c r="CO48" s="32">
        <f t="shared" si="35"/>
        <v>0</v>
      </c>
      <c r="CP48" s="32">
        <f t="shared" si="35"/>
        <v>0</v>
      </c>
      <c r="CQ48" s="32">
        <f t="shared" si="35"/>
        <v>0</v>
      </c>
      <c r="CR48" s="32">
        <f t="shared" si="35"/>
        <v>0</v>
      </c>
      <c r="CS48" s="32">
        <f t="shared" si="35"/>
        <v>0</v>
      </c>
      <c r="CT48" s="32">
        <f t="shared" si="35"/>
        <v>0</v>
      </c>
      <c r="CU48" s="32">
        <f t="shared" si="35"/>
        <v>0</v>
      </c>
      <c r="CV48" s="32">
        <f t="shared" si="35"/>
        <v>0</v>
      </c>
      <c r="CW48" s="32">
        <f t="shared" si="35"/>
        <v>0</v>
      </c>
      <c r="CX48" s="32">
        <f t="shared" si="35"/>
        <v>0.24892902880625403</v>
      </c>
      <c r="CY48" s="32">
        <f t="shared" si="35"/>
        <v>0</v>
      </c>
      <c r="CZ48" s="32">
        <f t="shared" si="35"/>
        <v>0</v>
      </c>
      <c r="DA48" s="32">
        <f t="shared" si="35"/>
        <v>0</v>
      </c>
      <c r="DB48" s="32">
        <f t="shared" si="35"/>
        <v>0</v>
      </c>
      <c r="DC48" s="32">
        <f t="shared" si="35"/>
        <v>0</v>
      </c>
      <c r="DD48" s="32">
        <f t="shared" si="35"/>
        <v>0</v>
      </c>
      <c r="DE48" s="32">
        <f t="shared" si="35"/>
        <v>0</v>
      </c>
      <c r="DF48" s="32">
        <f t="shared" si="35"/>
        <v>0</v>
      </c>
      <c r="DG48" s="32">
        <f t="shared" si="35"/>
        <v>0</v>
      </c>
      <c r="DH48" s="32">
        <f t="shared" si="35"/>
        <v>0</v>
      </c>
      <c r="DI48" s="32">
        <f t="shared" si="35"/>
        <v>0</v>
      </c>
      <c r="DJ48" s="32">
        <f t="shared" si="35"/>
        <v>0</v>
      </c>
      <c r="DK48" s="32">
        <f t="shared" si="35"/>
        <v>0</v>
      </c>
      <c r="DL48" s="32">
        <f t="shared" si="35"/>
        <v>0</v>
      </c>
    </row>
    <row r="49" spans="1:116" ht="12.75" customHeight="1" x14ac:dyDescent="0.2">
      <c r="A49" s="158" t="s">
        <v>16</v>
      </c>
      <c r="B49" s="90" t="s">
        <v>83</v>
      </c>
      <c r="C49" s="149">
        <v>24</v>
      </c>
      <c r="D49" s="89" t="s">
        <v>11</v>
      </c>
      <c r="E49" s="117" t="s">
        <v>103</v>
      </c>
      <c r="F49" s="5"/>
      <c r="G49" s="9"/>
      <c r="H49" s="4"/>
      <c r="P49" s="9"/>
      <c r="Q49" s="5"/>
      <c r="R49" s="5"/>
      <c r="S49" s="46"/>
      <c r="X49" s="163"/>
      <c r="Y49" s="164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</row>
    <row r="50" spans="1:116" ht="12.75" customHeight="1" x14ac:dyDescent="0.3">
      <c r="A50" s="116"/>
      <c r="B50" s="90" t="s">
        <v>81</v>
      </c>
      <c r="C50" s="149">
        <v>130</v>
      </c>
      <c r="D50" s="89" t="s">
        <v>82</v>
      </c>
      <c r="E50" s="94" t="s">
        <v>104</v>
      </c>
      <c r="F50" s="5"/>
      <c r="G50" s="9"/>
      <c r="H50" s="4"/>
      <c r="I50" s="51"/>
      <c r="J50" s="79" t="s">
        <v>30</v>
      </c>
      <c r="K50" s="80"/>
      <c r="L50" s="80"/>
      <c r="M50" s="80"/>
      <c r="N50" s="80"/>
      <c r="O50" s="81"/>
      <c r="P50" s="9"/>
      <c r="Q50" s="5"/>
      <c r="R50" s="5"/>
      <c r="S50" s="46"/>
      <c r="X50" s="178" t="s">
        <v>21</v>
      </c>
      <c r="Y50" t="s">
        <v>62</v>
      </c>
      <c r="Z50" t="s">
        <v>49</v>
      </c>
      <c r="AA50" s="23">
        <f t="shared" ref="AA50:BF50" si="36">(AA38*$K63+AA39*$K64+AA40*$K65+AA41*$K66+AA42*$K67)/SUM(AA38:AA42)</f>
        <v>250</v>
      </c>
      <c r="AB50" s="23">
        <f t="shared" si="36"/>
        <v>250</v>
      </c>
      <c r="AC50" s="23">
        <f t="shared" si="36"/>
        <v>250</v>
      </c>
      <c r="AD50" s="23">
        <f t="shared" si="36"/>
        <v>250</v>
      </c>
      <c r="AE50" s="23">
        <f t="shared" si="36"/>
        <v>250</v>
      </c>
      <c r="AF50" s="23">
        <f t="shared" si="36"/>
        <v>250</v>
      </c>
      <c r="AG50" s="23">
        <f t="shared" si="36"/>
        <v>250.00000000000003</v>
      </c>
      <c r="AH50" s="23">
        <f t="shared" si="36"/>
        <v>250.00000000000003</v>
      </c>
      <c r="AI50" s="23">
        <f t="shared" si="36"/>
        <v>250.00000000000003</v>
      </c>
      <c r="AJ50" s="23">
        <f t="shared" si="36"/>
        <v>250.00000000000003</v>
      </c>
      <c r="AK50" s="23">
        <f t="shared" si="36"/>
        <v>250</v>
      </c>
      <c r="AL50" s="23">
        <f t="shared" si="36"/>
        <v>250</v>
      </c>
      <c r="AM50" s="23">
        <f t="shared" si="36"/>
        <v>250</v>
      </c>
      <c r="AN50" s="23">
        <f t="shared" si="36"/>
        <v>250</v>
      </c>
      <c r="AO50" s="23">
        <f t="shared" si="36"/>
        <v>250</v>
      </c>
      <c r="AP50" s="23">
        <f t="shared" si="36"/>
        <v>250</v>
      </c>
      <c r="AQ50" s="23">
        <f t="shared" si="36"/>
        <v>250</v>
      </c>
      <c r="AR50" s="23">
        <f t="shared" si="36"/>
        <v>250</v>
      </c>
      <c r="AS50" s="23">
        <f t="shared" si="36"/>
        <v>250</v>
      </c>
      <c r="AT50" s="23">
        <f t="shared" si="36"/>
        <v>250</v>
      </c>
      <c r="AU50" s="23">
        <f t="shared" si="36"/>
        <v>250</v>
      </c>
      <c r="AV50" s="23">
        <f t="shared" si="36"/>
        <v>250</v>
      </c>
      <c r="AW50" s="23">
        <f t="shared" si="36"/>
        <v>250</v>
      </c>
      <c r="AX50" s="23">
        <f t="shared" si="36"/>
        <v>250</v>
      </c>
      <c r="AY50" s="23">
        <f t="shared" si="36"/>
        <v>250</v>
      </c>
      <c r="AZ50" s="23">
        <f t="shared" si="36"/>
        <v>250</v>
      </c>
      <c r="BA50" s="23">
        <f t="shared" si="36"/>
        <v>250</v>
      </c>
      <c r="BB50" s="23">
        <f t="shared" si="36"/>
        <v>250</v>
      </c>
      <c r="BC50" s="23">
        <f t="shared" si="36"/>
        <v>250</v>
      </c>
      <c r="BD50" s="23">
        <f t="shared" si="36"/>
        <v>250</v>
      </c>
      <c r="BE50" s="23">
        <f t="shared" si="36"/>
        <v>250</v>
      </c>
      <c r="BF50" s="23">
        <f t="shared" si="36"/>
        <v>250</v>
      </c>
      <c r="BG50" s="23">
        <f t="shared" ref="BG50:CL50" si="37">(BG38*$K63+BG39*$K64+BG40*$K65+BG41*$K66+BG42*$K67)/SUM(BG38:BG42)</f>
        <v>250</v>
      </c>
      <c r="BH50" s="23">
        <f t="shared" si="37"/>
        <v>250</v>
      </c>
      <c r="BI50" s="23">
        <f t="shared" si="37"/>
        <v>250</v>
      </c>
      <c r="BJ50" s="23">
        <f t="shared" si="37"/>
        <v>250</v>
      </c>
      <c r="BK50" s="23">
        <f t="shared" si="37"/>
        <v>250</v>
      </c>
      <c r="BL50" s="23">
        <f t="shared" si="37"/>
        <v>250</v>
      </c>
      <c r="BM50" s="23">
        <f t="shared" si="37"/>
        <v>250</v>
      </c>
      <c r="BN50" s="23">
        <f t="shared" si="37"/>
        <v>250</v>
      </c>
      <c r="BO50" s="23">
        <f t="shared" si="37"/>
        <v>250</v>
      </c>
      <c r="BP50" s="23">
        <f t="shared" si="37"/>
        <v>250</v>
      </c>
      <c r="BQ50" s="23">
        <f t="shared" si="37"/>
        <v>250</v>
      </c>
      <c r="BR50" s="23">
        <f t="shared" si="37"/>
        <v>250</v>
      </c>
      <c r="BS50" s="23">
        <f t="shared" si="37"/>
        <v>250</v>
      </c>
      <c r="BT50" s="23">
        <f t="shared" si="37"/>
        <v>250</v>
      </c>
      <c r="BU50" s="23">
        <f t="shared" si="37"/>
        <v>250</v>
      </c>
      <c r="BV50" s="23">
        <f t="shared" si="37"/>
        <v>250</v>
      </c>
      <c r="BW50" s="23">
        <f t="shared" si="37"/>
        <v>250</v>
      </c>
      <c r="BX50" s="23">
        <f t="shared" si="37"/>
        <v>250</v>
      </c>
      <c r="BY50" s="23">
        <f t="shared" si="37"/>
        <v>250</v>
      </c>
      <c r="BZ50" s="23">
        <f t="shared" si="37"/>
        <v>250</v>
      </c>
      <c r="CA50" s="23">
        <f t="shared" si="37"/>
        <v>250</v>
      </c>
      <c r="CB50" s="23">
        <f t="shared" si="37"/>
        <v>250</v>
      </c>
      <c r="CC50" s="23">
        <f t="shared" si="37"/>
        <v>250</v>
      </c>
      <c r="CD50" s="23">
        <f t="shared" si="37"/>
        <v>250</v>
      </c>
      <c r="CE50" s="23">
        <f t="shared" si="37"/>
        <v>250</v>
      </c>
      <c r="CF50" s="23">
        <f t="shared" si="37"/>
        <v>250</v>
      </c>
      <c r="CG50" s="23">
        <f t="shared" si="37"/>
        <v>250</v>
      </c>
      <c r="CH50" s="23">
        <f t="shared" si="37"/>
        <v>250</v>
      </c>
      <c r="CI50" s="23">
        <f t="shared" si="37"/>
        <v>246.73202614379088</v>
      </c>
      <c r="CJ50" s="23">
        <f t="shared" si="37"/>
        <v>250</v>
      </c>
      <c r="CK50" s="23">
        <f t="shared" si="37"/>
        <v>250</v>
      </c>
      <c r="CL50" s="23">
        <f t="shared" si="37"/>
        <v>250</v>
      </c>
      <c r="CM50" s="23">
        <f t="shared" ref="CM50:DL50" si="38">(CM38*$K63+CM39*$K64+CM40*$K65+CM41*$K66+CM42*$K67)/SUM(CM38:CM42)</f>
        <v>250</v>
      </c>
      <c r="CN50" s="23">
        <f t="shared" si="38"/>
        <v>250</v>
      </c>
      <c r="CO50" s="23">
        <f t="shared" si="38"/>
        <v>250</v>
      </c>
      <c r="CP50" s="23">
        <f t="shared" si="38"/>
        <v>250</v>
      </c>
      <c r="CQ50" s="23">
        <f t="shared" si="38"/>
        <v>250</v>
      </c>
      <c r="CR50" s="23">
        <f t="shared" si="38"/>
        <v>250</v>
      </c>
      <c r="CS50" s="23">
        <f t="shared" si="38"/>
        <v>250</v>
      </c>
      <c r="CT50" s="23">
        <f t="shared" si="38"/>
        <v>250</v>
      </c>
      <c r="CU50" s="23">
        <f t="shared" si="38"/>
        <v>250</v>
      </c>
      <c r="CV50" s="23">
        <f t="shared" si="38"/>
        <v>250</v>
      </c>
      <c r="CW50" s="23">
        <f t="shared" si="38"/>
        <v>250</v>
      </c>
      <c r="CX50" s="23">
        <f t="shared" si="38"/>
        <v>237.6543209876543</v>
      </c>
      <c r="CY50" s="23">
        <f t="shared" si="38"/>
        <v>250</v>
      </c>
      <c r="CZ50" s="23">
        <f t="shared" si="38"/>
        <v>250</v>
      </c>
      <c r="DA50" s="23">
        <f t="shared" si="38"/>
        <v>250</v>
      </c>
      <c r="DB50" s="23">
        <f t="shared" si="38"/>
        <v>250</v>
      </c>
      <c r="DC50" s="23">
        <f t="shared" si="38"/>
        <v>250</v>
      </c>
      <c r="DD50" s="23">
        <f t="shared" si="38"/>
        <v>250</v>
      </c>
      <c r="DE50" s="23">
        <f t="shared" si="38"/>
        <v>250</v>
      </c>
      <c r="DF50" s="23">
        <f t="shared" si="38"/>
        <v>250</v>
      </c>
      <c r="DG50" s="23">
        <f t="shared" si="38"/>
        <v>250</v>
      </c>
      <c r="DH50" s="23">
        <f t="shared" si="38"/>
        <v>250</v>
      </c>
      <c r="DI50" s="23">
        <f t="shared" si="38"/>
        <v>250</v>
      </c>
      <c r="DJ50" s="23">
        <f t="shared" si="38"/>
        <v>250</v>
      </c>
      <c r="DK50" s="23">
        <f t="shared" si="38"/>
        <v>250</v>
      </c>
      <c r="DL50" s="23">
        <f t="shared" si="38"/>
        <v>250</v>
      </c>
    </row>
    <row r="51" spans="1:116" ht="12.75" customHeight="1" x14ac:dyDescent="0.2">
      <c r="A51" s="4"/>
      <c r="B51" s="5"/>
      <c r="C51" s="5"/>
      <c r="D51" s="5"/>
      <c r="E51" s="5"/>
      <c r="F51" s="5"/>
      <c r="G51" s="9"/>
      <c r="H51" s="4"/>
      <c r="I51" s="51"/>
      <c r="J51" s="60">
        <f t="shared" ref="J51:O51" si="39">B26</f>
        <v>650</v>
      </c>
      <c r="K51" s="61">
        <f t="shared" si="39"/>
        <v>700</v>
      </c>
      <c r="L51" s="61">
        <f t="shared" si="39"/>
        <v>750</v>
      </c>
      <c r="M51" s="61">
        <f t="shared" si="39"/>
        <v>800</v>
      </c>
      <c r="N51" s="61">
        <f t="shared" si="39"/>
        <v>850</v>
      </c>
      <c r="O51" s="128">
        <f t="shared" si="39"/>
        <v>900</v>
      </c>
      <c r="P51" s="9"/>
      <c r="Q51" s="5"/>
      <c r="R51" s="5"/>
      <c r="S51" s="46"/>
      <c r="X51" s="178"/>
      <c r="Z51" t="s">
        <v>133</v>
      </c>
      <c r="AA51" s="23">
        <f>M63</f>
        <v>9</v>
      </c>
      <c r="AB51" s="23">
        <f>AA51</f>
        <v>9</v>
      </c>
      <c r="AC51" s="23">
        <f t="shared" ref="AC51:DH51" si="40">AB51</f>
        <v>9</v>
      </c>
      <c r="AD51" s="23">
        <f t="shared" si="40"/>
        <v>9</v>
      </c>
      <c r="AE51" s="23">
        <f t="shared" si="40"/>
        <v>9</v>
      </c>
      <c r="AF51" s="23">
        <f t="shared" si="40"/>
        <v>9</v>
      </c>
      <c r="AG51" s="23">
        <f t="shared" si="40"/>
        <v>9</v>
      </c>
      <c r="AH51" s="23">
        <f t="shared" si="40"/>
        <v>9</v>
      </c>
      <c r="AI51" s="23">
        <f t="shared" si="40"/>
        <v>9</v>
      </c>
      <c r="AJ51" s="23">
        <f t="shared" si="40"/>
        <v>9</v>
      </c>
      <c r="AK51" s="23">
        <f t="shared" si="40"/>
        <v>9</v>
      </c>
      <c r="AL51" s="23">
        <f>AK51</f>
        <v>9</v>
      </c>
      <c r="AM51" s="23">
        <f>AL51</f>
        <v>9</v>
      </c>
      <c r="AN51" s="23">
        <f>AM51</f>
        <v>9</v>
      </c>
      <c r="AO51" s="23">
        <f>AN51</f>
        <v>9</v>
      </c>
      <c r="AP51" s="23">
        <f>AK51</f>
        <v>9</v>
      </c>
      <c r="AQ51" s="23">
        <f t="shared" si="40"/>
        <v>9</v>
      </c>
      <c r="AR51" s="23">
        <f t="shared" si="40"/>
        <v>9</v>
      </c>
      <c r="AS51" s="23">
        <f t="shared" si="40"/>
        <v>9</v>
      </c>
      <c r="AT51" s="23">
        <f t="shared" si="40"/>
        <v>9</v>
      </c>
      <c r="AU51" s="23">
        <f t="shared" si="40"/>
        <v>9</v>
      </c>
      <c r="AV51" s="23">
        <f t="shared" si="40"/>
        <v>9</v>
      </c>
      <c r="AW51" s="23">
        <f t="shared" si="40"/>
        <v>9</v>
      </c>
      <c r="AX51" s="23">
        <f t="shared" si="40"/>
        <v>9</v>
      </c>
      <c r="AY51" s="23">
        <f t="shared" si="40"/>
        <v>9</v>
      </c>
      <c r="AZ51" s="23">
        <f t="shared" si="40"/>
        <v>9</v>
      </c>
      <c r="BA51" s="23">
        <f>AZ51</f>
        <v>9</v>
      </c>
      <c r="BB51" s="23">
        <f>BA51</f>
        <v>9</v>
      </c>
      <c r="BC51" s="23">
        <f>BB51</f>
        <v>9</v>
      </c>
      <c r="BD51" s="23">
        <f>BC51</f>
        <v>9</v>
      </c>
      <c r="BE51" s="23">
        <f>AZ51</f>
        <v>9</v>
      </c>
      <c r="BF51" s="23">
        <f t="shared" si="40"/>
        <v>9</v>
      </c>
      <c r="BG51" s="23">
        <f t="shared" si="40"/>
        <v>9</v>
      </c>
      <c r="BH51" s="23">
        <f t="shared" si="40"/>
        <v>9</v>
      </c>
      <c r="BI51" s="23">
        <f t="shared" si="40"/>
        <v>9</v>
      </c>
      <c r="BJ51" s="23">
        <f t="shared" si="40"/>
        <v>9</v>
      </c>
      <c r="BK51" s="23">
        <f t="shared" si="40"/>
        <v>9</v>
      </c>
      <c r="BL51" s="23">
        <f t="shared" si="40"/>
        <v>9</v>
      </c>
      <c r="BM51" s="23">
        <f t="shared" si="40"/>
        <v>9</v>
      </c>
      <c r="BN51" s="23">
        <f t="shared" si="40"/>
        <v>9</v>
      </c>
      <c r="BO51" s="23">
        <f t="shared" si="40"/>
        <v>9</v>
      </c>
      <c r="BP51" s="23">
        <f>BO51</f>
        <v>9</v>
      </c>
      <c r="BQ51" s="23">
        <f>BP51</f>
        <v>9</v>
      </c>
      <c r="BR51" s="23">
        <f>BQ51</f>
        <v>9</v>
      </c>
      <c r="BS51" s="23">
        <f>BR51</f>
        <v>9</v>
      </c>
      <c r="BT51" s="23">
        <f>BO51</f>
        <v>9</v>
      </c>
      <c r="BU51" s="23">
        <f t="shared" si="40"/>
        <v>9</v>
      </c>
      <c r="BV51" s="23">
        <f t="shared" si="40"/>
        <v>9</v>
      </c>
      <c r="BW51" s="23">
        <f t="shared" si="40"/>
        <v>9</v>
      </c>
      <c r="BX51" s="23">
        <f t="shared" si="40"/>
        <v>9</v>
      </c>
      <c r="BY51" s="23">
        <f t="shared" si="40"/>
        <v>9</v>
      </c>
      <c r="BZ51" s="23">
        <f t="shared" si="40"/>
        <v>9</v>
      </c>
      <c r="CA51" s="23">
        <f t="shared" si="40"/>
        <v>9</v>
      </c>
      <c r="CB51" s="23">
        <f t="shared" si="40"/>
        <v>9</v>
      </c>
      <c r="CC51" s="23">
        <f t="shared" si="40"/>
        <v>9</v>
      </c>
      <c r="CD51" s="23">
        <f t="shared" si="40"/>
        <v>9</v>
      </c>
      <c r="CE51" s="23">
        <f>CD51</f>
        <v>9</v>
      </c>
      <c r="CF51" s="23">
        <f>CE51</f>
        <v>9</v>
      </c>
      <c r="CG51" s="23">
        <f>CF51</f>
        <v>9</v>
      </c>
      <c r="CH51" s="23">
        <f>CG51</f>
        <v>9</v>
      </c>
      <c r="CI51" s="23">
        <f>CD51</f>
        <v>9</v>
      </c>
      <c r="CJ51" s="23">
        <f t="shared" si="40"/>
        <v>9</v>
      </c>
      <c r="CK51" s="23">
        <f t="shared" si="40"/>
        <v>9</v>
      </c>
      <c r="CL51" s="23">
        <f t="shared" si="40"/>
        <v>9</v>
      </c>
      <c r="CM51" s="23">
        <f t="shared" si="40"/>
        <v>9</v>
      </c>
      <c r="CN51" s="23">
        <f t="shared" si="40"/>
        <v>9</v>
      </c>
      <c r="CO51" s="23">
        <f t="shared" si="40"/>
        <v>9</v>
      </c>
      <c r="CP51" s="23">
        <f t="shared" si="40"/>
        <v>9</v>
      </c>
      <c r="CQ51" s="23">
        <f t="shared" si="40"/>
        <v>9</v>
      </c>
      <c r="CR51" s="23">
        <f t="shared" si="40"/>
        <v>9</v>
      </c>
      <c r="CS51" s="23">
        <f t="shared" si="40"/>
        <v>9</v>
      </c>
      <c r="CT51" s="23">
        <f>CS51</f>
        <v>9</v>
      </c>
      <c r="CU51" s="23">
        <f>CT51</f>
        <v>9</v>
      </c>
      <c r="CV51" s="23">
        <f>CU51</f>
        <v>9</v>
      </c>
      <c r="CW51" s="23">
        <f>CV51</f>
        <v>9</v>
      </c>
      <c r="CX51" s="23">
        <f>CS51</f>
        <v>9</v>
      </c>
      <c r="CY51" s="23">
        <f t="shared" si="40"/>
        <v>9</v>
      </c>
      <c r="CZ51" s="23">
        <f t="shared" si="40"/>
        <v>9</v>
      </c>
      <c r="DA51" s="23">
        <f t="shared" si="40"/>
        <v>9</v>
      </c>
      <c r="DB51" s="23">
        <f t="shared" si="40"/>
        <v>9</v>
      </c>
      <c r="DC51" s="23">
        <f t="shared" si="40"/>
        <v>9</v>
      </c>
      <c r="DD51" s="23">
        <f t="shared" si="40"/>
        <v>9</v>
      </c>
      <c r="DE51" s="23">
        <f t="shared" si="40"/>
        <v>9</v>
      </c>
      <c r="DF51" s="23">
        <f t="shared" si="40"/>
        <v>9</v>
      </c>
      <c r="DG51" s="23">
        <f t="shared" si="40"/>
        <v>9</v>
      </c>
      <c r="DH51" s="23">
        <f t="shared" si="40"/>
        <v>9</v>
      </c>
      <c r="DI51" s="23">
        <f>DH51</f>
        <v>9</v>
      </c>
      <c r="DJ51" s="23">
        <f>DI51</f>
        <v>9</v>
      </c>
      <c r="DK51" s="23">
        <f>DJ51</f>
        <v>9</v>
      </c>
      <c r="DL51" s="23">
        <f>DK51</f>
        <v>9</v>
      </c>
    </row>
    <row r="52" spans="1:116" ht="12.75" customHeight="1" x14ac:dyDescent="0.2">
      <c r="A52" s="119" t="s">
        <v>63</v>
      </c>
      <c r="B52" s="35"/>
      <c r="C52" s="5"/>
      <c r="D52" s="5"/>
      <c r="E52" s="5"/>
      <c r="F52" s="5"/>
      <c r="G52" s="9"/>
      <c r="H52" s="4"/>
      <c r="I52" s="77" t="s">
        <v>122</v>
      </c>
      <c r="J52" s="78">
        <f t="shared" ref="J52:O52" si="41">6*J51/1000</f>
        <v>3.9</v>
      </c>
      <c r="K52" s="78">
        <f t="shared" si="41"/>
        <v>4.2</v>
      </c>
      <c r="L52" s="78">
        <f t="shared" si="41"/>
        <v>4.5</v>
      </c>
      <c r="M52" s="78">
        <f t="shared" si="41"/>
        <v>4.8</v>
      </c>
      <c r="N52" s="78">
        <f t="shared" si="41"/>
        <v>5.0999999999999996</v>
      </c>
      <c r="O52" s="78">
        <f t="shared" si="41"/>
        <v>5.4</v>
      </c>
      <c r="P52" s="9"/>
      <c r="Q52" s="5"/>
      <c r="R52" s="5"/>
      <c r="S52" s="46"/>
      <c r="X52" s="178"/>
      <c r="Z52" t="s">
        <v>54</v>
      </c>
      <c r="AA52" s="32">
        <f t="shared" ref="AA52:BF52" si="42">AA51*AA50/1000</f>
        <v>2.25</v>
      </c>
      <c r="AB52" s="32">
        <f t="shared" si="42"/>
        <v>2.25</v>
      </c>
      <c r="AC52" s="32">
        <f t="shared" si="42"/>
        <v>2.25</v>
      </c>
      <c r="AD52" s="32">
        <f t="shared" si="42"/>
        <v>2.25</v>
      </c>
      <c r="AE52" s="32">
        <f t="shared" si="42"/>
        <v>2.25</v>
      </c>
      <c r="AF52" s="32">
        <f t="shared" si="42"/>
        <v>2.25</v>
      </c>
      <c r="AG52" s="32">
        <f t="shared" si="42"/>
        <v>2.2500000000000004</v>
      </c>
      <c r="AH52" s="32">
        <f t="shared" si="42"/>
        <v>2.2500000000000004</v>
      </c>
      <c r="AI52" s="32">
        <f t="shared" si="42"/>
        <v>2.2500000000000004</v>
      </c>
      <c r="AJ52" s="32">
        <f t="shared" si="42"/>
        <v>2.2500000000000004</v>
      </c>
      <c r="AK52" s="32">
        <f t="shared" si="42"/>
        <v>2.25</v>
      </c>
      <c r="AL52" s="32">
        <f t="shared" si="42"/>
        <v>2.25</v>
      </c>
      <c r="AM52" s="32">
        <f t="shared" si="42"/>
        <v>2.25</v>
      </c>
      <c r="AN52" s="32">
        <f t="shared" si="42"/>
        <v>2.25</v>
      </c>
      <c r="AO52" s="32">
        <f t="shared" si="42"/>
        <v>2.25</v>
      </c>
      <c r="AP52" s="32">
        <f t="shared" si="42"/>
        <v>2.25</v>
      </c>
      <c r="AQ52" s="32">
        <f t="shared" si="42"/>
        <v>2.25</v>
      </c>
      <c r="AR52" s="32">
        <f t="shared" si="42"/>
        <v>2.25</v>
      </c>
      <c r="AS52" s="32">
        <f t="shared" si="42"/>
        <v>2.25</v>
      </c>
      <c r="AT52" s="32">
        <f t="shared" si="42"/>
        <v>2.25</v>
      </c>
      <c r="AU52" s="32">
        <f t="shared" si="42"/>
        <v>2.25</v>
      </c>
      <c r="AV52" s="32">
        <f t="shared" si="42"/>
        <v>2.25</v>
      </c>
      <c r="AW52" s="32">
        <f t="shared" si="42"/>
        <v>2.25</v>
      </c>
      <c r="AX52" s="32">
        <f t="shared" si="42"/>
        <v>2.25</v>
      </c>
      <c r="AY52" s="32">
        <f t="shared" si="42"/>
        <v>2.25</v>
      </c>
      <c r="AZ52" s="32">
        <f t="shared" si="42"/>
        <v>2.25</v>
      </c>
      <c r="BA52" s="32">
        <f t="shared" si="42"/>
        <v>2.25</v>
      </c>
      <c r="BB52" s="32">
        <f t="shared" si="42"/>
        <v>2.25</v>
      </c>
      <c r="BC52" s="32">
        <f t="shared" si="42"/>
        <v>2.25</v>
      </c>
      <c r="BD52" s="32">
        <f t="shared" si="42"/>
        <v>2.25</v>
      </c>
      <c r="BE52" s="32">
        <f t="shared" si="42"/>
        <v>2.25</v>
      </c>
      <c r="BF52" s="32">
        <f t="shared" si="42"/>
        <v>2.25</v>
      </c>
      <c r="BG52" s="32">
        <f t="shared" ref="BG52:CL52" si="43">BG51*BG50/1000</f>
        <v>2.25</v>
      </c>
      <c r="BH52" s="32">
        <f t="shared" si="43"/>
        <v>2.25</v>
      </c>
      <c r="BI52" s="32">
        <f t="shared" si="43"/>
        <v>2.25</v>
      </c>
      <c r="BJ52" s="32">
        <f t="shared" si="43"/>
        <v>2.25</v>
      </c>
      <c r="BK52" s="32">
        <f t="shared" si="43"/>
        <v>2.25</v>
      </c>
      <c r="BL52" s="32">
        <f t="shared" si="43"/>
        <v>2.25</v>
      </c>
      <c r="BM52" s="32">
        <f t="shared" si="43"/>
        <v>2.25</v>
      </c>
      <c r="BN52" s="32">
        <f t="shared" si="43"/>
        <v>2.25</v>
      </c>
      <c r="BO52" s="32">
        <f t="shared" si="43"/>
        <v>2.25</v>
      </c>
      <c r="BP52" s="32">
        <f t="shared" si="43"/>
        <v>2.25</v>
      </c>
      <c r="BQ52" s="32">
        <f t="shared" si="43"/>
        <v>2.25</v>
      </c>
      <c r="BR52" s="32">
        <f t="shared" si="43"/>
        <v>2.25</v>
      </c>
      <c r="BS52" s="32">
        <f t="shared" si="43"/>
        <v>2.25</v>
      </c>
      <c r="BT52" s="32">
        <f t="shared" si="43"/>
        <v>2.25</v>
      </c>
      <c r="BU52" s="32">
        <f t="shared" si="43"/>
        <v>2.25</v>
      </c>
      <c r="BV52" s="32">
        <f t="shared" si="43"/>
        <v>2.25</v>
      </c>
      <c r="BW52" s="32">
        <f t="shared" si="43"/>
        <v>2.25</v>
      </c>
      <c r="BX52" s="32">
        <f t="shared" si="43"/>
        <v>2.25</v>
      </c>
      <c r="BY52" s="32">
        <f t="shared" si="43"/>
        <v>2.25</v>
      </c>
      <c r="BZ52" s="32">
        <f t="shared" si="43"/>
        <v>2.25</v>
      </c>
      <c r="CA52" s="32">
        <f t="shared" si="43"/>
        <v>2.25</v>
      </c>
      <c r="CB52" s="32">
        <f t="shared" si="43"/>
        <v>2.25</v>
      </c>
      <c r="CC52" s="32">
        <f t="shared" si="43"/>
        <v>2.25</v>
      </c>
      <c r="CD52" s="32">
        <f t="shared" si="43"/>
        <v>2.25</v>
      </c>
      <c r="CE52" s="32">
        <f t="shared" si="43"/>
        <v>2.25</v>
      </c>
      <c r="CF52" s="32">
        <f t="shared" si="43"/>
        <v>2.25</v>
      </c>
      <c r="CG52" s="32">
        <f t="shared" si="43"/>
        <v>2.25</v>
      </c>
      <c r="CH52" s="32">
        <f t="shared" si="43"/>
        <v>2.25</v>
      </c>
      <c r="CI52" s="32">
        <f t="shared" si="43"/>
        <v>2.2205882352941182</v>
      </c>
      <c r="CJ52" s="32">
        <f t="shared" si="43"/>
        <v>2.25</v>
      </c>
      <c r="CK52" s="32">
        <f t="shared" si="43"/>
        <v>2.25</v>
      </c>
      <c r="CL52" s="32">
        <f t="shared" si="43"/>
        <v>2.25</v>
      </c>
      <c r="CM52" s="32">
        <f t="shared" ref="CM52:DL52" si="44">CM51*CM50/1000</f>
        <v>2.25</v>
      </c>
      <c r="CN52" s="32">
        <f t="shared" si="44"/>
        <v>2.25</v>
      </c>
      <c r="CO52" s="32">
        <f t="shared" si="44"/>
        <v>2.25</v>
      </c>
      <c r="CP52" s="32">
        <f t="shared" si="44"/>
        <v>2.25</v>
      </c>
      <c r="CQ52" s="32">
        <f t="shared" si="44"/>
        <v>2.25</v>
      </c>
      <c r="CR52" s="32">
        <f t="shared" si="44"/>
        <v>2.25</v>
      </c>
      <c r="CS52" s="32">
        <f t="shared" si="44"/>
        <v>2.25</v>
      </c>
      <c r="CT52" s="32">
        <f t="shared" si="44"/>
        <v>2.25</v>
      </c>
      <c r="CU52" s="32">
        <f t="shared" si="44"/>
        <v>2.25</v>
      </c>
      <c r="CV52" s="32">
        <f t="shared" si="44"/>
        <v>2.25</v>
      </c>
      <c r="CW52" s="32">
        <f t="shared" si="44"/>
        <v>2.25</v>
      </c>
      <c r="CX52" s="32">
        <f t="shared" si="44"/>
        <v>2.1388888888888888</v>
      </c>
      <c r="CY52" s="32">
        <f t="shared" si="44"/>
        <v>2.25</v>
      </c>
      <c r="CZ52" s="32">
        <f t="shared" si="44"/>
        <v>2.25</v>
      </c>
      <c r="DA52" s="32">
        <f t="shared" si="44"/>
        <v>2.25</v>
      </c>
      <c r="DB52" s="32">
        <f t="shared" si="44"/>
        <v>2.25</v>
      </c>
      <c r="DC52" s="32">
        <f t="shared" si="44"/>
        <v>2.25</v>
      </c>
      <c r="DD52" s="32">
        <f t="shared" si="44"/>
        <v>2.25</v>
      </c>
      <c r="DE52" s="32">
        <f t="shared" si="44"/>
        <v>2.25</v>
      </c>
      <c r="DF52" s="32">
        <f t="shared" si="44"/>
        <v>2.25</v>
      </c>
      <c r="DG52" s="32">
        <f t="shared" si="44"/>
        <v>2.25</v>
      </c>
      <c r="DH52" s="32">
        <f t="shared" si="44"/>
        <v>2.25</v>
      </c>
      <c r="DI52" s="32">
        <f t="shared" si="44"/>
        <v>2.25</v>
      </c>
      <c r="DJ52" s="32">
        <f t="shared" si="44"/>
        <v>2.25</v>
      </c>
      <c r="DK52" s="32">
        <f t="shared" si="44"/>
        <v>2.25</v>
      </c>
      <c r="DL52" s="32">
        <f t="shared" si="44"/>
        <v>2.25</v>
      </c>
    </row>
    <row r="53" spans="1:116" ht="12.75" customHeight="1" x14ac:dyDescent="0.2">
      <c r="A53" s="172" t="s">
        <v>99</v>
      </c>
      <c r="B53" s="173"/>
      <c r="C53" s="173"/>
      <c r="D53" s="5"/>
      <c r="E53" s="5"/>
      <c r="F53" s="5"/>
      <c r="G53" s="9"/>
      <c r="H53" s="4"/>
      <c r="I53" s="77" t="s">
        <v>123</v>
      </c>
      <c r="J53" s="78">
        <f t="shared" ref="J53:O53" si="45">3*J51/1000</f>
        <v>1.95</v>
      </c>
      <c r="K53" s="78">
        <f t="shared" si="45"/>
        <v>2.1</v>
      </c>
      <c r="L53" s="78">
        <f t="shared" si="45"/>
        <v>2.25</v>
      </c>
      <c r="M53" s="78">
        <f t="shared" si="45"/>
        <v>2.4</v>
      </c>
      <c r="N53" s="78">
        <f t="shared" si="45"/>
        <v>2.5499999999999998</v>
      </c>
      <c r="O53" s="78">
        <f t="shared" si="45"/>
        <v>2.7</v>
      </c>
      <c r="P53" s="9"/>
      <c r="Q53" s="5"/>
      <c r="R53" s="5"/>
      <c r="S53" s="46"/>
      <c r="X53" s="178"/>
      <c r="Z53" t="s">
        <v>125</v>
      </c>
      <c r="AA53" s="32">
        <f t="shared" ref="AA53:BF53" si="46">MIN(AA67,IF(AA44=0,AA52,IF(AA50=0,AA48,AA48+AA52)))</f>
        <v>2.25</v>
      </c>
      <c r="AB53" s="32">
        <f t="shared" si="46"/>
        <v>2.25</v>
      </c>
      <c r="AC53" s="32">
        <f t="shared" si="46"/>
        <v>2.25</v>
      </c>
      <c r="AD53" s="32">
        <f t="shared" si="46"/>
        <v>2.25</v>
      </c>
      <c r="AE53" s="32">
        <f t="shared" si="46"/>
        <v>2.25</v>
      </c>
      <c r="AF53" s="32">
        <f t="shared" si="46"/>
        <v>2.25</v>
      </c>
      <c r="AG53" s="32">
        <f t="shared" si="46"/>
        <v>2.2500000000000004</v>
      </c>
      <c r="AH53" s="32">
        <f t="shared" si="46"/>
        <v>2.2500000000000004</v>
      </c>
      <c r="AI53" s="32">
        <f t="shared" si="46"/>
        <v>2.2500000000000004</v>
      </c>
      <c r="AJ53" s="32">
        <f t="shared" si="46"/>
        <v>2.2500000000000004</v>
      </c>
      <c r="AK53" s="32">
        <f t="shared" si="46"/>
        <v>2.25</v>
      </c>
      <c r="AL53" s="32">
        <f t="shared" si="46"/>
        <v>2.25</v>
      </c>
      <c r="AM53" s="32">
        <f t="shared" si="46"/>
        <v>2.25</v>
      </c>
      <c r="AN53" s="32">
        <f t="shared" si="46"/>
        <v>2.25</v>
      </c>
      <c r="AO53" s="32">
        <f t="shared" si="46"/>
        <v>2.25</v>
      </c>
      <c r="AP53" s="32">
        <f t="shared" si="46"/>
        <v>2.25</v>
      </c>
      <c r="AQ53" s="32">
        <f t="shared" si="46"/>
        <v>2.25</v>
      </c>
      <c r="AR53" s="32">
        <f t="shared" si="46"/>
        <v>2.25</v>
      </c>
      <c r="AS53" s="32">
        <f t="shared" si="46"/>
        <v>2.25</v>
      </c>
      <c r="AT53" s="32">
        <f t="shared" si="46"/>
        <v>2.25</v>
      </c>
      <c r="AU53" s="32">
        <f t="shared" si="46"/>
        <v>2.25</v>
      </c>
      <c r="AV53" s="32">
        <f t="shared" si="46"/>
        <v>2.25</v>
      </c>
      <c r="AW53" s="32">
        <f t="shared" si="46"/>
        <v>2.25</v>
      </c>
      <c r="AX53" s="32">
        <f t="shared" si="46"/>
        <v>2.25</v>
      </c>
      <c r="AY53" s="32">
        <f t="shared" si="46"/>
        <v>2.25</v>
      </c>
      <c r="AZ53" s="32">
        <f t="shared" si="46"/>
        <v>2.25</v>
      </c>
      <c r="BA53" s="32">
        <f t="shared" si="46"/>
        <v>2.25</v>
      </c>
      <c r="BB53" s="32">
        <f t="shared" si="46"/>
        <v>2.25</v>
      </c>
      <c r="BC53" s="32">
        <f t="shared" si="46"/>
        <v>2.25</v>
      </c>
      <c r="BD53" s="32">
        <f t="shared" si="46"/>
        <v>2.25</v>
      </c>
      <c r="BE53" s="32">
        <f t="shared" si="46"/>
        <v>2.25</v>
      </c>
      <c r="BF53" s="32">
        <f t="shared" si="46"/>
        <v>2.25</v>
      </c>
      <c r="BG53" s="32">
        <f t="shared" ref="BG53:CL53" si="47">MIN(BG67,IF(BG44=0,BG52,IF(BG50=0,BG48,BG48+BG52)))</f>
        <v>2.25</v>
      </c>
      <c r="BH53" s="32">
        <f t="shared" si="47"/>
        <v>2.25</v>
      </c>
      <c r="BI53" s="32">
        <f t="shared" si="47"/>
        <v>2.25</v>
      </c>
      <c r="BJ53" s="32">
        <f t="shared" si="47"/>
        <v>2.25</v>
      </c>
      <c r="BK53" s="32">
        <f t="shared" si="47"/>
        <v>2.25</v>
      </c>
      <c r="BL53" s="32">
        <f t="shared" si="47"/>
        <v>2.25</v>
      </c>
      <c r="BM53" s="32">
        <f t="shared" si="47"/>
        <v>2.25</v>
      </c>
      <c r="BN53" s="32">
        <f t="shared" si="47"/>
        <v>2.25</v>
      </c>
      <c r="BO53" s="32">
        <f t="shared" si="47"/>
        <v>2.25</v>
      </c>
      <c r="BP53" s="32">
        <f t="shared" si="47"/>
        <v>2.25</v>
      </c>
      <c r="BQ53" s="32">
        <f t="shared" si="47"/>
        <v>2.25</v>
      </c>
      <c r="BR53" s="32">
        <f t="shared" si="47"/>
        <v>2.25</v>
      </c>
      <c r="BS53" s="32">
        <f t="shared" si="47"/>
        <v>2.25</v>
      </c>
      <c r="BT53" s="32">
        <f t="shared" si="47"/>
        <v>2.25</v>
      </c>
      <c r="BU53" s="32">
        <f t="shared" si="47"/>
        <v>2.25</v>
      </c>
      <c r="BV53" s="32">
        <f t="shared" si="47"/>
        <v>2.25</v>
      </c>
      <c r="BW53" s="32">
        <f t="shared" si="47"/>
        <v>2.25</v>
      </c>
      <c r="BX53" s="32">
        <f t="shared" si="47"/>
        <v>2.25</v>
      </c>
      <c r="BY53" s="32">
        <f t="shared" si="47"/>
        <v>2.25</v>
      </c>
      <c r="BZ53" s="32">
        <f t="shared" si="47"/>
        <v>2.25</v>
      </c>
      <c r="CA53" s="32">
        <f t="shared" si="47"/>
        <v>2.25</v>
      </c>
      <c r="CB53" s="32">
        <f t="shared" si="47"/>
        <v>2.25</v>
      </c>
      <c r="CC53" s="32">
        <f t="shared" si="47"/>
        <v>2.25</v>
      </c>
      <c r="CD53" s="32">
        <f t="shared" si="47"/>
        <v>2.25</v>
      </c>
      <c r="CE53" s="32">
        <f t="shared" si="47"/>
        <v>2.25</v>
      </c>
      <c r="CF53" s="32">
        <f t="shared" si="47"/>
        <v>2.25</v>
      </c>
      <c r="CG53" s="32">
        <f t="shared" si="47"/>
        <v>2.25</v>
      </c>
      <c r="CH53" s="32">
        <f t="shared" si="47"/>
        <v>2.25</v>
      </c>
      <c r="CI53" s="32">
        <f t="shared" si="47"/>
        <v>2.2205882352941182</v>
      </c>
      <c r="CJ53" s="32">
        <f t="shared" si="47"/>
        <v>2.25</v>
      </c>
      <c r="CK53" s="32">
        <f t="shared" si="47"/>
        <v>2.25</v>
      </c>
      <c r="CL53" s="32">
        <f t="shared" si="47"/>
        <v>2.25</v>
      </c>
      <c r="CM53" s="32">
        <f t="shared" ref="CM53:DL53" si="48">MIN(CM67,IF(CM44=0,CM52,IF(CM50=0,CM48,CM48+CM52)))</f>
        <v>2.25</v>
      </c>
      <c r="CN53" s="32">
        <f t="shared" si="48"/>
        <v>2.25</v>
      </c>
      <c r="CO53" s="32">
        <f t="shared" si="48"/>
        <v>2.25</v>
      </c>
      <c r="CP53" s="32">
        <f t="shared" si="48"/>
        <v>2.25</v>
      </c>
      <c r="CQ53" s="32">
        <f t="shared" si="48"/>
        <v>2.25</v>
      </c>
      <c r="CR53" s="32">
        <f t="shared" si="48"/>
        <v>2.25</v>
      </c>
      <c r="CS53" s="32">
        <f t="shared" si="48"/>
        <v>2.25</v>
      </c>
      <c r="CT53" s="32">
        <f t="shared" si="48"/>
        <v>2.25</v>
      </c>
      <c r="CU53" s="32">
        <f t="shared" si="48"/>
        <v>2.25</v>
      </c>
      <c r="CV53" s="32">
        <f t="shared" si="48"/>
        <v>2.25</v>
      </c>
      <c r="CW53" s="32">
        <f t="shared" si="48"/>
        <v>2.25</v>
      </c>
      <c r="CX53" s="32">
        <f t="shared" si="48"/>
        <v>2.1388888888888888</v>
      </c>
      <c r="CY53" s="32">
        <f t="shared" si="48"/>
        <v>2.25</v>
      </c>
      <c r="CZ53" s="32">
        <f t="shared" si="48"/>
        <v>2.25</v>
      </c>
      <c r="DA53" s="32">
        <f t="shared" si="48"/>
        <v>2.25</v>
      </c>
      <c r="DB53" s="32">
        <f t="shared" si="48"/>
        <v>2.25</v>
      </c>
      <c r="DC53" s="32">
        <f t="shared" si="48"/>
        <v>2.25</v>
      </c>
      <c r="DD53" s="32">
        <f t="shared" si="48"/>
        <v>2.25</v>
      </c>
      <c r="DE53" s="32">
        <f t="shared" si="48"/>
        <v>2.25</v>
      </c>
      <c r="DF53" s="32">
        <f t="shared" si="48"/>
        <v>2.25</v>
      </c>
      <c r="DG53" s="32">
        <f t="shared" si="48"/>
        <v>2.25</v>
      </c>
      <c r="DH53" s="32">
        <f t="shared" si="48"/>
        <v>2.25</v>
      </c>
      <c r="DI53" s="32">
        <f t="shared" si="48"/>
        <v>2.25</v>
      </c>
      <c r="DJ53" s="32">
        <f t="shared" si="48"/>
        <v>2.25</v>
      </c>
      <c r="DK53" s="32">
        <f t="shared" si="48"/>
        <v>2.25</v>
      </c>
      <c r="DL53" s="32">
        <f t="shared" si="48"/>
        <v>2.25</v>
      </c>
    </row>
    <row r="54" spans="1:116" ht="12.75" customHeight="1" x14ac:dyDescent="0.3">
      <c r="A54" s="120" t="s">
        <v>78</v>
      </c>
      <c r="B54" s="90">
        <f>IF(A53="Situación extraordinaria",2,3)</f>
        <v>3</v>
      </c>
      <c r="C54" s="5"/>
      <c r="D54" s="5"/>
      <c r="E54" s="5"/>
      <c r="F54" s="5"/>
      <c r="G54" s="9"/>
      <c r="H54" s="4"/>
      <c r="I54" s="5"/>
      <c r="J54" s="5"/>
      <c r="K54" s="5"/>
      <c r="L54" s="5"/>
      <c r="M54" s="5"/>
      <c r="N54" s="5"/>
      <c r="O54" s="5"/>
      <c r="P54" s="9"/>
      <c r="Q54" s="5"/>
      <c r="R54" s="5"/>
      <c r="S54" s="46"/>
      <c r="X54" s="178"/>
      <c r="Z54" t="s">
        <v>124</v>
      </c>
      <c r="AA54" s="68">
        <f t="shared" ref="AA54:AO54" si="49">AA$53*PI()*($AA$33/1000)^2/4</f>
        <v>0.7466191290796993</v>
      </c>
      <c r="AB54" s="68">
        <f t="shared" si="49"/>
        <v>0.7466191290796993</v>
      </c>
      <c r="AC54" s="68">
        <f t="shared" si="49"/>
        <v>0.7466191290796993</v>
      </c>
      <c r="AD54" s="68">
        <f t="shared" si="49"/>
        <v>0.7466191290796993</v>
      </c>
      <c r="AE54" s="68">
        <f t="shared" si="49"/>
        <v>0.7466191290796993</v>
      </c>
      <c r="AF54" s="68">
        <f t="shared" si="49"/>
        <v>0.7466191290796993</v>
      </c>
      <c r="AG54" s="68">
        <f t="shared" si="49"/>
        <v>0.74661912907969952</v>
      </c>
      <c r="AH54" s="68">
        <f t="shared" si="49"/>
        <v>0.74661912907969952</v>
      </c>
      <c r="AI54" s="68">
        <f t="shared" si="49"/>
        <v>0.74661912907969952</v>
      </c>
      <c r="AJ54" s="68">
        <f t="shared" si="49"/>
        <v>0.74661912907969952</v>
      </c>
      <c r="AK54" s="68">
        <f t="shared" si="49"/>
        <v>0.7466191290796993</v>
      </c>
      <c r="AL54" s="68">
        <f t="shared" si="49"/>
        <v>0.7466191290796993</v>
      </c>
      <c r="AM54" s="68">
        <f t="shared" si="49"/>
        <v>0.7466191290796993</v>
      </c>
      <c r="AN54" s="68">
        <f t="shared" si="49"/>
        <v>0.7466191290796993</v>
      </c>
      <c r="AO54" s="68">
        <f t="shared" si="49"/>
        <v>0.7466191290796993</v>
      </c>
      <c r="AP54" s="68">
        <f t="shared" ref="AP54:BD54" si="50">AP$53*PI()*($AP$33/1000)^2/4</f>
        <v>0.86590147514568661</v>
      </c>
      <c r="AQ54" s="68">
        <f t="shared" si="50"/>
        <v>0.86590147514568661</v>
      </c>
      <c r="AR54" s="68">
        <f t="shared" si="50"/>
        <v>0.86590147514568661</v>
      </c>
      <c r="AS54" s="68">
        <f t="shared" si="50"/>
        <v>0.86590147514568661</v>
      </c>
      <c r="AT54" s="68">
        <f t="shared" si="50"/>
        <v>0.86590147514568661</v>
      </c>
      <c r="AU54" s="68">
        <f t="shared" si="50"/>
        <v>0.86590147514568661</v>
      </c>
      <c r="AV54" s="68">
        <f t="shared" si="50"/>
        <v>0.86590147514568661</v>
      </c>
      <c r="AW54" s="68">
        <f t="shared" si="50"/>
        <v>0.86590147514568661</v>
      </c>
      <c r="AX54" s="68">
        <f t="shared" si="50"/>
        <v>0.86590147514568661</v>
      </c>
      <c r="AY54" s="68">
        <f t="shared" si="50"/>
        <v>0.86590147514568661</v>
      </c>
      <c r="AZ54" s="68">
        <f t="shared" si="50"/>
        <v>0.86590147514568661</v>
      </c>
      <c r="BA54" s="68">
        <f t="shared" si="50"/>
        <v>0.86590147514568661</v>
      </c>
      <c r="BB54" s="68">
        <f t="shared" si="50"/>
        <v>0.86590147514568661</v>
      </c>
      <c r="BC54" s="68">
        <f t="shared" si="50"/>
        <v>0.86590147514568661</v>
      </c>
      <c r="BD54" s="68">
        <f t="shared" si="50"/>
        <v>0.86590147514568661</v>
      </c>
      <c r="BE54" s="68">
        <f t="shared" ref="BE54:BS54" si="51">BE$53*PI()*($BE$33/1000)^2/4</f>
        <v>0.99401955054989544</v>
      </c>
      <c r="BF54" s="68">
        <f t="shared" si="51"/>
        <v>0.99401955054989544</v>
      </c>
      <c r="BG54" s="68">
        <f t="shared" si="51"/>
        <v>0.99401955054989544</v>
      </c>
      <c r="BH54" s="68">
        <f t="shared" si="51"/>
        <v>0.99401955054989544</v>
      </c>
      <c r="BI54" s="68">
        <f t="shared" si="51"/>
        <v>0.99401955054989544</v>
      </c>
      <c r="BJ54" s="68">
        <f t="shared" si="51"/>
        <v>0.99401955054989544</v>
      </c>
      <c r="BK54" s="68">
        <f t="shared" si="51"/>
        <v>0.99401955054989544</v>
      </c>
      <c r="BL54" s="68">
        <f t="shared" si="51"/>
        <v>0.99401955054989544</v>
      </c>
      <c r="BM54" s="68">
        <f t="shared" si="51"/>
        <v>0.99401955054989544</v>
      </c>
      <c r="BN54" s="68">
        <f t="shared" si="51"/>
        <v>0.99401955054989544</v>
      </c>
      <c r="BO54" s="68">
        <f t="shared" si="51"/>
        <v>0.99401955054989544</v>
      </c>
      <c r="BP54" s="68">
        <f t="shared" si="51"/>
        <v>0.99401955054989544</v>
      </c>
      <c r="BQ54" s="68">
        <f t="shared" si="51"/>
        <v>0.99401955054989544</v>
      </c>
      <c r="BR54" s="68">
        <f t="shared" si="51"/>
        <v>0.99401955054989544</v>
      </c>
      <c r="BS54" s="68">
        <f t="shared" si="51"/>
        <v>0.99401955054989544</v>
      </c>
      <c r="BT54" s="68">
        <f t="shared" ref="BT54:CH54" si="52">BT$53*PI()*($BT$33/1000)^2/4</f>
        <v>1.1309733552923258</v>
      </c>
      <c r="BU54" s="68">
        <f t="shared" si="52"/>
        <v>1.1309733552923258</v>
      </c>
      <c r="BV54" s="68">
        <f t="shared" si="52"/>
        <v>1.1309733552923258</v>
      </c>
      <c r="BW54" s="68">
        <f t="shared" si="52"/>
        <v>1.1309733552923258</v>
      </c>
      <c r="BX54" s="68">
        <f t="shared" si="52"/>
        <v>1.1309733552923258</v>
      </c>
      <c r="BY54" s="68">
        <f t="shared" si="52"/>
        <v>1.1309733552923258</v>
      </c>
      <c r="BZ54" s="68">
        <f t="shared" si="52"/>
        <v>1.1309733552923258</v>
      </c>
      <c r="CA54" s="68">
        <f t="shared" si="52"/>
        <v>1.1309733552923258</v>
      </c>
      <c r="CB54" s="68">
        <f t="shared" si="52"/>
        <v>1.1309733552923258</v>
      </c>
      <c r="CC54" s="68">
        <f t="shared" si="52"/>
        <v>1.1309733552923258</v>
      </c>
      <c r="CD54" s="68">
        <f t="shared" si="52"/>
        <v>1.1309733552923258</v>
      </c>
      <c r="CE54" s="68">
        <f t="shared" si="52"/>
        <v>1.1309733552923258</v>
      </c>
      <c r="CF54" s="68">
        <f t="shared" si="52"/>
        <v>1.1309733552923258</v>
      </c>
      <c r="CG54" s="68">
        <f t="shared" si="52"/>
        <v>1.1309733552923258</v>
      </c>
      <c r="CH54" s="68">
        <f t="shared" si="52"/>
        <v>1.1309733552923258</v>
      </c>
      <c r="CI54" s="68">
        <f t="shared" ref="CI54:CW54" si="53">CI$53*PI()*($CI$33/1000)^2/4</f>
        <v>1.2600731784007813</v>
      </c>
      <c r="CJ54" s="68">
        <f t="shared" si="53"/>
        <v>1.2767628893729768</v>
      </c>
      <c r="CK54" s="68">
        <f t="shared" si="53"/>
        <v>1.2767628893729768</v>
      </c>
      <c r="CL54" s="68">
        <f t="shared" si="53"/>
        <v>1.2767628893729768</v>
      </c>
      <c r="CM54" s="68">
        <f t="shared" si="53"/>
        <v>1.2767628893729768</v>
      </c>
      <c r="CN54" s="68">
        <f t="shared" si="53"/>
        <v>1.2767628893729768</v>
      </c>
      <c r="CO54" s="68">
        <f t="shared" si="53"/>
        <v>1.2767628893729768</v>
      </c>
      <c r="CP54" s="68">
        <f t="shared" si="53"/>
        <v>1.2767628893729768</v>
      </c>
      <c r="CQ54" s="68">
        <f t="shared" si="53"/>
        <v>1.2767628893729768</v>
      </c>
      <c r="CR54" s="68">
        <f t="shared" si="53"/>
        <v>1.2767628893729768</v>
      </c>
      <c r="CS54" s="68">
        <f t="shared" si="53"/>
        <v>1.2767628893729768</v>
      </c>
      <c r="CT54" s="68">
        <f t="shared" si="53"/>
        <v>1.2767628893729768</v>
      </c>
      <c r="CU54" s="68">
        <f t="shared" si="53"/>
        <v>1.2767628893729768</v>
      </c>
      <c r="CV54" s="68">
        <f t="shared" si="53"/>
        <v>1.2767628893729768</v>
      </c>
      <c r="CW54" s="68">
        <f t="shared" si="53"/>
        <v>1.2767628893729768</v>
      </c>
      <c r="CX54" s="68">
        <f t="shared" ref="CX54:DL54" si="54">CX$53*PI()*($CX$33/1000)^2/4</f>
        <v>1.3607023180860791</v>
      </c>
      <c r="CY54" s="68">
        <f t="shared" si="54"/>
        <v>1.4313881527918495</v>
      </c>
      <c r="CZ54" s="68">
        <f t="shared" si="54"/>
        <v>1.4313881527918495</v>
      </c>
      <c r="DA54" s="68">
        <f t="shared" si="54"/>
        <v>1.4313881527918495</v>
      </c>
      <c r="DB54" s="68">
        <f t="shared" si="54"/>
        <v>1.4313881527918495</v>
      </c>
      <c r="DC54" s="68">
        <f t="shared" si="54"/>
        <v>1.4313881527918495</v>
      </c>
      <c r="DD54" s="68">
        <f t="shared" si="54"/>
        <v>1.4313881527918495</v>
      </c>
      <c r="DE54" s="68">
        <f t="shared" si="54"/>
        <v>1.4313881527918495</v>
      </c>
      <c r="DF54" s="68">
        <f t="shared" si="54"/>
        <v>1.4313881527918495</v>
      </c>
      <c r="DG54" s="68">
        <f t="shared" si="54"/>
        <v>1.4313881527918495</v>
      </c>
      <c r="DH54" s="68">
        <f t="shared" si="54"/>
        <v>1.4313881527918495</v>
      </c>
      <c r="DI54" s="68">
        <f t="shared" si="54"/>
        <v>1.4313881527918495</v>
      </c>
      <c r="DJ54" s="68">
        <f t="shared" si="54"/>
        <v>1.4313881527918495</v>
      </c>
      <c r="DK54" s="68">
        <f t="shared" si="54"/>
        <v>1.4313881527918495</v>
      </c>
      <c r="DL54" s="68">
        <f t="shared" si="54"/>
        <v>1.4313881527918495</v>
      </c>
    </row>
    <row r="55" spans="1:116" ht="12.75" customHeight="1" thickBot="1" x14ac:dyDescent="0.25">
      <c r="A55" s="121"/>
      <c r="B55" s="122"/>
      <c r="C55" s="7"/>
      <c r="D55" s="7"/>
      <c r="E55" s="7"/>
      <c r="F55" s="7"/>
      <c r="G55" s="10"/>
      <c r="H55" s="6"/>
      <c r="I55" s="7"/>
      <c r="J55" s="7"/>
      <c r="K55" s="7"/>
      <c r="L55" s="7"/>
      <c r="M55" s="7"/>
      <c r="N55" s="7"/>
      <c r="O55" s="7"/>
      <c r="P55" s="10"/>
      <c r="Q55" s="5"/>
      <c r="R55" s="5"/>
      <c r="S55" s="46"/>
      <c r="X55" s="178"/>
      <c r="Z55" t="s">
        <v>128</v>
      </c>
      <c r="AA55" s="23">
        <f t="shared" ref="AA55:AK55" si="55">AA54/$B$54*1000</f>
        <v>248.87304302656642</v>
      </c>
      <c r="AB55" s="23">
        <f t="shared" si="55"/>
        <v>248.87304302656642</v>
      </c>
      <c r="AC55" s="23">
        <f t="shared" si="55"/>
        <v>248.87304302656642</v>
      </c>
      <c r="AD55" s="23">
        <f t="shared" si="55"/>
        <v>248.87304302656642</v>
      </c>
      <c r="AE55" s="23">
        <f t="shared" si="55"/>
        <v>248.87304302656642</v>
      </c>
      <c r="AF55" s="23">
        <f t="shared" si="55"/>
        <v>248.87304302656642</v>
      </c>
      <c r="AG55" s="23">
        <f t="shared" si="55"/>
        <v>248.87304302656651</v>
      </c>
      <c r="AH55" s="23">
        <f t="shared" si="55"/>
        <v>248.87304302656651</v>
      </c>
      <c r="AI55" s="23">
        <f t="shared" si="55"/>
        <v>248.87304302656651</v>
      </c>
      <c r="AJ55" s="23">
        <f t="shared" si="55"/>
        <v>248.87304302656651</v>
      </c>
      <c r="AK55" s="23">
        <f t="shared" si="55"/>
        <v>248.87304302656642</v>
      </c>
      <c r="AL55" s="23">
        <f t="shared" ref="AL55:CW55" si="56">AL54/$B$54*1000</f>
        <v>248.87304302656642</v>
      </c>
      <c r="AM55" s="23">
        <f t="shared" si="56"/>
        <v>248.87304302656642</v>
      </c>
      <c r="AN55" s="23">
        <f t="shared" si="56"/>
        <v>248.87304302656642</v>
      </c>
      <c r="AO55" s="23">
        <f t="shared" si="56"/>
        <v>248.87304302656642</v>
      </c>
      <c r="AP55" s="23">
        <f t="shared" si="56"/>
        <v>288.63382504856224</v>
      </c>
      <c r="AQ55" s="23">
        <f t="shared" si="56"/>
        <v>288.63382504856224</v>
      </c>
      <c r="AR55" s="23">
        <f t="shared" si="56"/>
        <v>288.63382504856224</v>
      </c>
      <c r="AS55" s="23">
        <f t="shared" si="56"/>
        <v>288.63382504856224</v>
      </c>
      <c r="AT55" s="23">
        <f t="shared" si="56"/>
        <v>288.63382504856224</v>
      </c>
      <c r="AU55" s="23">
        <f t="shared" si="56"/>
        <v>288.63382504856224</v>
      </c>
      <c r="AV55" s="23">
        <f t="shared" si="56"/>
        <v>288.63382504856224</v>
      </c>
      <c r="AW55" s="23">
        <f t="shared" si="56"/>
        <v>288.63382504856224</v>
      </c>
      <c r="AX55" s="23">
        <f t="shared" si="56"/>
        <v>288.63382504856224</v>
      </c>
      <c r="AY55" s="23">
        <f t="shared" si="56"/>
        <v>288.63382504856224</v>
      </c>
      <c r="AZ55" s="23">
        <f t="shared" si="56"/>
        <v>288.63382504856224</v>
      </c>
      <c r="BA55" s="23">
        <f t="shared" si="56"/>
        <v>288.63382504856224</v>
      </c>
      <c r="BB55" s="23">
        <f t="shared" si="56"/>
        <v>288.63382504856224</v>
      </c>
      <c r="BC55" s="23">
        <f t="shared" si="56"/>
        <v>288.63382504856224</v>
      </c>
      <c r="BD55" s="23">
        <f t="shared" si="56"/>
        <v>288.63382504856224</v>
      </c>
      <c r="BE55" s="23">
        <f t="shared" si="56"/>
        <v>331.33985018329849</v>
      </c>
      <c r="BF55" s="23">
        <f t="shared" si="56"/>
        <v>331.33985018329849</v>
      </c>
      <c r="BG55" s="23">
        <f t="shared" si="56"/>
        <v>331.33985018329849</v>
      </c>
      <c r="BH55" s="23">
        <f t="shared" si="56"/>
        <v>331.33985018329849</v>
      </c>
      <c r="BI55" s="23">
        <f t="shared" si="56"/>
        <v>331.33985018329849</v>
      </c>
      <c r="BJ55" s="23">
        <f t="shared" si="56"/>
        <v>331.33985018329849</v>
      </c>
      <c r="BK55" s="23">
        <f t="shared" si="56"/>
        <v>331.33985018329849</v>
      </c>
      <c r="BL55" s="23">
        <f t="shared" si="56"/>
        <v>331.33985018329849</v>
      </c>
      <c r="BM55" s="23">
        <f t="shared" si="56"/>
        <v>331.33985018329849</v>
      </c>
      <c r="BN55" s="23">
        <f t="shared" si="56"/>
        <v>331.33985018329849</v>
      </c>
      <c r="BO55" s="23">
        <f t="shared" si="56"/>
        <v>331.33985018329849</v>
      </c>
      <c r="BP55" s="23">
        <f t="shared" si="56"/>
        <v>331.33985018329849</v>
      </c>
      <c r="BQ55" s="23">
        <f t="shared" si="56"/>
        <v>331.33985018329849</v>
      </c>
      <c r="BR55" s="23">
        <f t="shared" si="56"/>
        <v>331.33985018329849</v>
      </c>
      <c r="BS55" s="23">
        <f t="shared" si="56"/>
        <v>331.33985018329849</v>
      </c>
      <c r="BT55" s="23">
        <f t="shared" si="56"/>
        <v>376.99111843077526</v>
      </c>
      <c r="BU55" s="23">
        <f t="shared" si="56"/>
        <v>376.99111843077526</v>
      </c>
      <c r="BV55" s="23">
        <f t="shared" si="56"/>
        <v>376.99111843077526</v>
      </c>
      <c r="BW55" s="23">
        <f t="shared" si="56"/>
        <v>376.99111843077526</v>
      </c>
      <c r="BX55" s="23">
        <f t="shared" si="56"/>
        <v>376.99111843077526</v>
      </c>
      <c r="BY55" s="23">
        <f t="shared" si="56"/>
        <v>376.99111843077526</v>
      </c>
      <c r="BZ55" s="23">
        <f t="shared" si="56"/>
        <v>376.99111843077526</v>
      </c>
      <c r="CA55" s="23">
        <f t="shared" si="56"/>
        <v>376.99111843077526</v>
      </c>
      <c r="CB55" s="23">
        <f t="shared" si="56"/>
        <v>376.99111843077526</v>
      </c>
      <c r="CC55" s="23">
        <f t="shared" si="56"/>
        <v>376.99111843077526</v>
      </c>
      <c r="CD55" s="23">
        <f t="shared" si="56"/>
        <v>376.99111843077526</v>
      </c>
      <c r="CE55" s="23">
        <f t="shared" si="56"/>
        <v>376.99111843077526</v>
      </c>
      <c r="CF55" s="23">
        <f t="shared" si="56"/>
        <v>376.99111843077526</v>
      </c>
      <c r="CG55" s="23">
        <f t="shared" si="56"/>
        <v>376.99111843077526</v>
      </c>
      <c r="CH55" s="23">
        <f t="shared" si="56"/>
        <v>376.99111843077526</v>
      </c>
      <c r="CI55" s="23">
        <f t="shared" si="56"/>
        <v>420.02439280026044</v>
      </c>
      <c r="CJ55" s="23">
        <f t="shared" si="56"/>
        <v>425.58762979099225</v>
      </c>
      <c r="CK55" s="23">
        <f t="shared" si="56"/>
        <v>425.58762979099225</v>
      </c>
      <c r="CL55" s="23">
        <f t="shared" si="56"/>
        <v>425.58762979099225</v>
      </c>
      <c r="CM55" s="23">
        <f t="shared" si="56"/>
        <v>425.58762979099225</v>
      </c>
      <c r="CN55" s="23">
        <f t="shared" si="56"/>
        <v>425.58762979099225</v>
      </c>
      <c r="CO55" s="23">
        <f t="shared" si="56"/>
        <v>425.58762979099225</v>
      </c>
      <c r="CP55" s="23">
        <f t="shared" si="56"/>
        <v>425.58762979099225</v>
      </c>
      <c r="CQ55" s="23">
        <f t="shared" si="56"/>
        <v>425.58762979099225</v>
      </c>
      <c r="CR55" s="23">
        <f t="shared" si="56"/>
        <v>425.58762979099225</v>
      </c>
      <c r="CS55" s="23">
        <f t="shared" si="56"/>
        <v>425.58762979099225</v>
      </c>
      <c r="CT55" s="23">
        <f t="shared" si="56"/>
        <v>425.58762979099225</v>
      </c>
      <c r="CU55" s="23">
        <f t="shared" si="56"/>
        <v>425.58762979099225</v>
      </c>
      <c r="CV55" s="23">
        <f t="shared" si="56"/>
        <v>425.58762979099225</v>
      </c>
      <c r="CW55" s="23">
        <f t="shared" si="56"/>
        <v>425.58762979099225</v>
      </c>
      <c r="CX55" s="23">
        <f t="shared" ref="CX55:DL55" si="57">CX54/$B$54*1000</f>
        <v>453.56743936202639</v>
      </c>
      <c r="CY55" s="23">
        <f t="shared" si="57"/>
        <v>477.12938426394987</v>
      </c>
      <c r="CZ55" s="23">
        <f t="shared" si="57"/>
        <v>477.12938426394987</v>
      </c>
      <c r="DA55" s="23">
        <f t="shared" si="57"/>
        <v>477.12938426394987</v>
      </c>
      <c r="DB55" s="23">
        <f t="shared" si="57"/>
        <v>477.12938426394987</v>
      </c>
      <c r="DC55" s="23">
        <f t="shared" si="57"/>
        <v>477.12938426394987</v>
      </c>
      <c r="DD55" s="23">
        <f t="shared" si="57"/>
        <v>477.12938426394987</v>
      </c>
      <c r="DE55" s="23">
        <f t="shared" si="57"/>
        <v>477.12938426394987</v>
      </c>
      <c r="DF55" s="23">
        <f t="shared" si="57"/>
        <v>477.12938426394987</v>
      </c>
      <c r="DG55" s="23">
        <f t="shared" si="57"/>
        <v>477.12938426394987</v>
      </c>
      <c r="DH55" s="23">
        <f t="shared" si="57"/>
        <v>477.12938426394987</v>
      </c>
      <c r="DI55" s="23">
        <f t="shared" si="57"/>
        <v>477.12938426394987</v>
      </c>
      <c r="DJ55" s="23">
        <f t="shared" si="57"/>
        <v>477.12938426394987</v>
      </c>
      <c r="DK55" s="23">
        <f t="shared" si="57"/>
        <v>477.12938426394987</v>
      </c>
      <c r="DL55" s="23">
        <f t="shared" si="57"/>
        <v>477.12938426394987</v>
      </c>
    </row>
    <row r="56" spans="1:116" ht="12.75" customHeight="1" thickBot="1" x14ac:dyDescent="0.25">
      <c r="A56" s="136"/>
      <c r="B56" s="137"/>
      <c r="C56" s="130"/>
      <c r="D56" s="130"/>
      <c r="E56" s="130"/>
      <c r="F56" s="130"/>
      <c r="G56" s="130"/>
      <c r="H56" s="130"/>
      <c r="I56" s="130"/>
      <c r="J56" s="130"/>
      <c r="K56" s="130"/>
      <c r="L56" s="130"/>
      <c r="M56" s="130"/>
      <c r="N56" s="130"/>
      <c r="O56" s="130"/>
      <c r="P56" s="130"/>
      <c r="Q56" s="5"/>
      <c r="R56" s="5"/>
      <c r="S56" s="46"/>
      <c r="X56" s="178"/>
      <c r="Z56" s="66" t="s">
        <v>56</v>
      </c>
    </row>
    <row r="57" spans="1:116" ht="12.75" customHeight="1" x14ac:dyDescent="0.2">
      <c r="A57" s="127" t="s">
        <v>100</v>
      </c>
      <c r="B57" s="8"/>
      <c r="C57" s="125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18"/>
      <c r="Q57" s="5"/>
      <c r="R57" s="5"/>
      <c r="S57" s="46"/>
      <c r="Z57" t="s">
        <v>57</v>
      </c>
      <c r="AA57" s="23">
        <f t="shared" ref="AA57:AO57" si="58">IF(AA$35&gt;$E63,$F63*$O63,IF(AND($D63&lt;AA$35,AA$35&lt;=$E63),(AA$35-$D63)*$O63,0))*PI()*($AA$33/1000)</f>
        <v>4.0840663656003655E-4</v>
      </c>
      <c r="AB57" s="23">
        <f t="shared" si="58"/>
        <v>4.0840663656003655E-4</v>
      </c>
      <c r="AC57" s="23">
        <f t="shared" si="58"/>
        <v>4.0840663656003655E-4</v>
      </c>
      <c r="AD57" s="23">
        <f t="shared" si="58"/>
        <v>4.0840663656003655E-4</v>
      </c>
      <c r="AE57" s="23">
        <f t="shared" si="58"/>
        <v>4.0840663656003655E-4</v>
      </c>
      <c r="AF57" s="23">
        <f t="shared" si="58"/>
        <v>4.0840663656003655E-4</v>
      </c>
      <c r="AG57" s="23">
        <f t="shared" si="58"/>
        <v>4.0840663656003655E-4</v>
      </c>
      <c r="AH57" s="23">
        <f t="shared" si="58"/>
        <v>4.0840663656003655E-4</v>
      </c>
      <c r="AI57" s="23">
        <f t="shared" si="58"/>
        <v>4.0840663656003655E-4</v>
      </c>
      <c r="AJ57" s="23">
        <f t="shared" si="58"/>
        <v>4.0840663656003655E-4</v>
      </c>
      <c r="AK57" s="23">
        <f t="shared" si="58"/>
        <v>4.0840663656003655E-4</v>
      </c>
      <c r="AL57" s="23">
        <f t="shared" si="58"/>
        <v>4.0840663656003655E-4</v>
      </c>
      <c r="AM57" s="23">
        <f t="shared" si="58"/>
        <v>4.0840663656003655E-4</v>
      </c>
      <c r="AN57" s="23">
        <f t="shared" si="58"/>
        <v>4.0840663656003655E-4</v>
      </c>
      <c r="AO57" s="23">
        <f t="shared" si="58"/>
        <v>4.0840663656003655E-4</v>
      </c>
      <c r="AP57" s="23">
        <f t="shared" ref="AP57:BD57" si="59">IF(AP$35&gt;$E63,$F63*$O63,IF(AND($D63&lt;AP$35,AP$35&lt;=$E63),(AP$35-$D63)*$O63,0))*PI()*($AP$33/1000)</f>
        <v>4.3982253168003933E-4</v>
      </c>
      <c r="AQ57" s="23">
        <f t="shared" si="59"/>
        <v>4.3982253168003933E-4</v>
      </c>
      <c r="AR57" s="23">
        <f t="shared" si="59"/>
        <v>4.3982253168003933E-4</v>
      </c>
      <c r="AS57" s="23">
        <f t="shared" si="59"/>
        <v>4.3982253168003933E-4</v>
      </c>
      <c r="AT57" s="23">
        <f t="shared" si="59"/>
        <v>4.3982253168003933E-4</v>
      </c>
      <c r="AU57" s="23">
        <f t="shared" si="59"/>
        <v>4.3982253168003933E-4</v>
      </c>
      <c r="AV57" s="23">
        <f t="shared" si="59"/>
        <v>4.3982253168003933E-4</v>
      </c>
      <c r="AW57" s="23">
        <f t="shared" si="59"/>
        <v>4.3982253168003933E-4</v>
      </c>
      <c r="AX57" s="23">
        <f t="shared" si="59"/>
        <v>4.3982253168003933E-4</v>
      </c>
      <c r="AY57" s="23">
        <f t="shared" si="59"/>
        <v>4.3982253168003933E-4</v>
      </c>
      <c r="AZ57" s="23">
        <f t="shared" si="59"/>
        <v>4.3982253168003933E-4</v>
      </c>
      <c r="BA57" s="23">
        <f t="shared" si="59"/>
        <v>4.3982253168003933E-4</v>
      </c>
      <c r="BB57" s="23">
        <f t="shared" si="59"/>
        <v>4.3982253168003933E-4</v>
      </c>
      <c r="BC57" s="23">
        <f t="shared" si="59"/>
        <v>4.3982253168003933E-4</v>
      </c>
      <c r="BD57" s="23">
        <f t="shared" si="59"/>
        <v>4.3982253168003933E-4</v>
      </c>
      <c r="BE57" s="23">
        <f t="shared" ref="BE57:BS57" si="60">IF(BE$35&gt;$E63,$F63*$O63,IF(AND($D63&lt;BE$35,BE$35&lt;=$E63),(BE$35-$D63)*$O63,0))*PI()*($BE$33/1000)</f>
        <v>4.7123842680004216E-4</v>
      </c>
      <c r="BF57" s="23">
        <f t="shared" si="60"/>
        <v>4.7123842680004216E-4</v>
      </c>
      <c r="BG57" s="23">
        <f t="shared" si="60"/>
        <v>4.7123842680004216E-4</v>
      </c>
      <c r="BH57" s="23">
        <f t="shared" si="60"/>
        <v>4.7123842680004216E-4</v>
      </c>
      <c r="BI57" s="23">
        <f t="shared" si="60"/>
        <v>4.7123842680004216E-4</v>
      </c>
      <c r="BJ57" s="23">
        <f t="shared" si="60"/>
        <v>4.7123842680004216E-4</v>
      </c>
      <c r="BK57" s="23">
        <f t="shared" si="60"/>
        <v>4.7123842680004216E-4</v>
      </c>
      <c r="BL57" s="23">
        <f t="shared" si="60"/>
        <v>4.7123842680004216E-4</v>
      </c>
      <c r="BM57" s="23">
        <f t="shared" si="60"/>
        <v>4.7123842680004216E-4</v>
      </c>
      <c r="BN57" s="23">
        <f t="shared" si="60"/>
        <v>4.7123842680004216E-4</v>
      </c>
      <c r="BO57" s="23">
        <f t="shared" si="60"/>
        <v>4.7123842680004216E-4</v>
      </c>
      <c r="BP57" s="23">
        <f t="shared" si="60"/>
        <v>4.7123842680004216E-4</v>
      </c>
      <c r="BQ57" s="23">
        <f t="shared" si="60"/>
        <v>4.7123842680004216E-4</v>
      </c>
      <c r="BR57" s="23">
        <f t="shared" si="60"/>
        <v>4.7123842680004216E-4</v>
      </c>
      <c r="BS57" s="23">
        <f t="shared" si="60"/>
        <v>4.7123842680004216E-4</v>
      </c>
      <c r="BT57" s="23">
        <f t="shared" ref="BT57:CH57" si="61">IF(BT$35&gt;$E63,$F63*$O63,IF(AND($D63&lt;BT$35,BT$35&lt;=$E63),(BT$35-$D63)*$O63,0))*PI()*($BT$33/1000)</f>
        <v>5.0265432192004504E-4</v>
      </c>
      <c r="BU57" s="23">
        <f t="shared" si="61"/>
        <v>5.0265432192004504E-4</v>
      </c>
      <c r="BV57" s="23">
        <f t="shared" si="61"/>
        <v>5.0265432192004504E-4</v>
      </c>
      <c r="BW57" s="23">
        <f t="shared" si="61"/>
        <v>5.0265432192004504E-4</v>
      </c>
      <c r="BX57" s="23">
        <f t="shared" si="61"/>
        <v>5.0265432192004504E-4</v>
      </c>
      <c r="BY57" s="23">
        <f t="shared" si="61"/>
        <v>5.0265432192004504E-4</v>
      </c>
      <c r="BZ57" s="23">
        <f t="shared" si="61"/>
        <v>5.0265432192004504E-4</v>
      </c>
      <c r="CA57" s="23">
        <f t="shared" si="61"/>
        <v>5.0265432192004504E-4</v>
      </c>
      <c r="CB57" s="23">
        <f t="shared" si="61"/>
        <v>5.0265432192004504E-4</v>
      </c>
      <c r="CC57" s="23">
        <f t="shared" si="61"/>
        <v>5.0265432192004504E-4</v>
      </c>
      <c r="CD57" s="23">
        <f t="shared" si="61"/>
        <v>5.0265432192004504E-4</v>
      </c>
      <c r="CE57" s="23">
        <f t="shared" si="61"/>
        <v>5.0265432192004504E-4</v>
      </c>
      <c r="CF57" s="23">
        <f t="shared" si="61"/>
        <v>5.0265432192004504E-4</v>
      </c>
      <c r="CG57" s="23">
        <f t="shared" si="61"/>
        <v>5.0265432192004504E-4</v>
      </c>
      <c r="CH57" s="23">
        <f t="shared" si="61"/>
        <v>5.0265432192004504E-4</v>
      </c>
      <c r="CI57" s="23">
        <f t="shared" ref="CI57:CW57" si="62">IF(CI$35&gt;$E63,$F63*$O63,IF(AND($D63&lt;CI$35,CI$35&lt;=$E63),(CI$35-$D63)*$O63,0))*PI()*($CI$33/1000)</f>
        <v>5.3407021704004781E-4</v>
      </c>
      <c r="CJ57" s="23">
        <f t="shared" si="62"/>
        <v>5.3407021704004781E-4</v>
      </c>
      <c r="CK57" s="23">
        <f t="shared" si="62"/>
        <v>5.3407021704004781E-4</v>
      </c>
      <c r="CL57" s="23">
        <f t="shared" si="62"/>
        <v>5.3407021704004781E-4</v>
      </c>
      <c r="CM57" s="23">
        <f t="shared" si="62"/>
        <v>5.3407021704004781E-4</v>
      </c>
      <c r="CN57" s="23">
        <f t="shared" si="62"/>
        <v>5.3407021704004781E-4</v>
      </c>
      <c r="CO57" s="23">
        <f t="shared" si="62"/>
        <v>5.3407021704004781E-4</v>
      </c>
      <c r="CP57" s="23">
        <f t="shared" si="62"/>
        <v>5.3407021704004781E-4</v>
      </c>
      <c r="CQ57" s="23">
        <f t="shared" si="62"/>
        <v>5.3407021704004781E-4</v>
      </c>
      <c r="CR57" s="23">
        <f t="shared" si="62"/>
        <v>5.3407021704004781E-4</v>
      </c>
      <c r="CS57" s="23">
        <f t="shared" si="62"/>
        <v>5.3407021704004781E-4</v>
      </c>
      <c r="CT57" s="23">
        <f t="shared" si="62"/>
        <v>5.3407021704004781E-4</v>
      </c>
      <c r="CU57" s="23">
        <f t="shared" si="62"/>
        <v>5.3407021704004781E-4</v>
      </c>
      <c r="CV57" s="23">
        <f t="shared" si="62"/>
        <v>5.3407021704004781E-4</v>
      </c>
      <c r="CW57" s="23">
        <f t="shared" si="62"/>
        <v>5.3407021704004781E-4</v>
      </c>
      <c r="CX57" s="23">
        <f t="shared" ref="CX57:DL57" si="63">IF(CX$35&gt;$E63,$F63*$O63,IF(AND($D63&lt;CX$35,CX$35&lt;=$E63),(CX$35-$D63)*$O63,0))*PI()*($CX$33/1000)</f>
        <v>5.6548611216005059E-4</v>
      </c>
      <c r="CY57" s="23">
        <f t="shared" si="63"/>
        <v>5.6548611216005059E-4</v>
      </c>
      <c r="CZ57" s="23">
        <f t="shared" si="63"/>
        <v>5.6548611216005059E-4</v>
      </c>
      <c r="DA57" s="23">
        <f t="shared" si="63"/>
        <v>5.6548611216005059E-4</v>
      </c>
      <c r="DB57" s="23">
        <f t="shared" si="63"/>
        <v>5.6548611216005059E-4</v>
      </c>
      <c r="DC57" s="23">
        <f t="shared" si="63"/>
        <v>5.6548611216005059E-4</v>
      </c>
      <c r="DD57" s="23">
        <f t="shared" si="63"/>
        <v>5.6548611216005059E-4</v>
      </c>
      <c r="DE57" s="23">
        <f t="shared" si="63"/>
        <v>5.6548611216005059E-4</v>
      </c>
      <c r="DF57" s="23">
        <f t="shared" si="63"/>
        <v>5.6548611216005059E-4</v>
      </c>
      <c r="DG57" s="23">
        <f t="shared" si="63"/>
        <v>5.6548611216005059E-4</v>
      </c>
      <c r="DH57" s="23">
        <f t="shared" si="63"/>
        <v>5.6548611216005059E-4</v>
      </c>
      <c r="DI57" s="23">
        <f t="shared" si="63"/>
        <v>5.6548611216005059E-4</v>
      </c>
      <c r="DJ57" s="23">
        <f t="shared" si="63"/>
        <v>5.6548611216005059E-4</v>
      </c>
      <c r="DK57" s="23">
        <f t="shared" si="63"/>
        <v>5.6548611216005059E-4</v>
      </c>
      <c r="DL57" s="23">
        <f t="shared" si="63"/>
        <v>5.6548611216005059E-4</v>
      </c>
    </row>
    <row r="58" spans="1:116" ht="12.75" customHeight="1" thickBot="1" x14ac:dyDescent="0.25">
      <c r="A58" s="4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9"/>
      <c r="Q58" s="5"/>
      <c r="R58" s="5"/>
      <c r="S58" s="46"/>
      <c r="Z58" t="s">
        <v>58</v>
      </c>
      <c r="AA58" s="23">
        <f t="shared" ref="AA58:AO58" si="64">IF(AA$35&gt;$E64,$F64*$O64,IF(AND($D64&lt;AA$35,AA$35&lt;=$E64),(AA$35-$D64)*$O64,0))*PI()*($AA$33/1000)</f>
        <v>488.87098508964056</v>
      </c>
      <c r="AB58" s="23">
        <f t="shared" si="64"/>
        <v>488.87098508964056</v>
      </c>
      <c r="AC58" s="23">
        <f t="shared" si="64"/>
        <v>488.87098508964056</v>
      </c>
      <c r="AD58" s="23">
        <f t="shared" si="64"/>
        <v>488.87098508964056</v>
      </c>
      <c r="AE58" s="23">
        <f t="shared" si="64"/>
        <v>488.87098508964056</v>
      </c>
      <c r="AF58" s="23">
        <f t="shared" si="64"/>
        <v>488.87098508964056</v>
      </c>
      <c r="AG58" s="23">
        <f t="shared" si="64"/>
        <v>488.87098508964056</v>
      </c>
      <c r="AH58" s="23">
        <f t="shared" si="64"/>
        <v>488.87098508964056</v>
      </c>
      <c r="AI58" s="23">
        <f t="shared" si="64"/>
        <v>488.87098508964056</v>
      </c>
      <c r="AJ58" s="23">
        <f t="shared" si="64"/>
        <v>488.87098508964056</v>
      </c>
      <c r="AK58" s="23">
        <f t="shared" si="64"/>
        <v>488.87098508964056</v>
      </c>
      <c r="AL58" s="23">
        <f t="shared" si="64"/>
        <v>488.87098508964056</v>
      </c>
      <c r="AM58" s="23">
        <f t="shared" si="64"/>
        <v>488.87098508964056</v>
      </c>
      <c r="AN58" s="23">
        <f t="shared" si="64"/>
        <v>488.87098508964056</v>
      </c>
      <c r="AO58" s="23">
        <f t="shared" si="64"/>
        <v>488.87098508964056</v>
      </c>
      <c r="AP58" s="23">
        <f t="shared" ref="AP58:BD58" si="65">IF(AP$35&gt;$E64,$F64*$O64,IF(AND($D64&lt;AP$35,AP$35&lt;=$E64),(AP$35-$D64)*$O64,0))*PI()*($AP$33/1000)</f>
        <v>526.47644548115125</v>
      </c>
      <c r="AQ58" s="23">
        <f t="shared" si="65"/>
        <v>526.47644548115125</v>
      </c>
      <c r="AR58" s="23">
        <f t="shared" si="65"/>
        <v>526.47644548115125</v>
      </c>
      <c r="AS58" s="23">
        <f t="shared" si="65"/>
        <v>526.47644548115125</v>
      </c>
      <c r="AT58" s="23">
        <f t="shared" si="65"/>
        <v>526.47644548115125</v>
      </c>
      <c r="AU58" s="23">
        <f t="shared" si="65"/>
        <v>526.47644548115125</v>
      </c>
      <c r="AV58" s="23">
        <f t="shared" si="65"/>
        <v>526.47644548115125</v>
      </c>
      <c r="AW58" s="23">
        <f t="shared" si="65"/>
        <v>526.47644548115125</v>
      </c>
      <c r="AX58" s="23">
        <f t="shared" si="65"/>
        <v>526.47644548115125</v>
      </c>
      <c r="AY58" s="23">
        <f t="shared" si="65"/>
        <v>526.47644548115125</v>
      </c>
      <c r="AZ58" s="23">
        <f t="shared" si="65"/>
        <v>526.47644548115125</v>
      </c>
      <c r="BA58" s="23">
        <f t="shared" si="65"/>
        <v>526.47644548115125</v>
      </c>
      <c r="BB58" s="23">
        <f t="shared" si="65"/>
        <v>526.47644548115125</v>
      </c>
      <c r="BC58" s="23">
        <f t="shared" si="65"/>
        <v>526.47644548115125</v>
      </c>
      <c r="BD58" s="23">
        <f t="shared" si="65"/>
        <v>526.47644548115125</v>
      </c>
      <c r="BE58" s="23">
        <f t="shared" ref="BE58:BS58" si="66">IF(BE$35&gt;$E64,$F64*$O64,IF(AND($D64&lt;BE$35,BE$35&lt;=$E64),(BE$35-$D64)*$O64,0))*PI()*($BE$33/1000)</f>
        <v>564.08190587266211</v>
      </c>
      <c r="BF58" s="23">
        <f t="shared" si="66"/>
        <v>564.08190587266211</v>
      </c>
      <c r="BG58" s="23">
        <f t="shared" si="66"/>
        <v>564.08190587266211</v>
      </c>
      <c r="BH58" s="23">
        <f t="shared" si="66"/>
        <v>564.08190587266211</v>
      </c>
      <c r="BI58" s="23">
        <f t="shared" si="66"/>
        <v>564.08190587266211</v>
      </c>
      <c r="BJ58" s="23">
        <f t="shared" si="66"/>
        <v>564.08190587266211</v>
      </c>
      <c r="BK58" s="23">
        <f t="shared" si="66"/>
        <v>564.08190587266211</v>
      </c>
      <c r="BL58" s="23">
        <f t="shared" si="66"/>
        <v>564.08190587266211</v>
      </c>
      <c r="BM58" s="23">
        <f t="shared" si="66"/>
        <v>564.08190587266211</v>
      </c>
      <c r="BN58" s="23">
        <f t="shared" si="66"/>
        <v>564.08190587266211</v>
      </c>
      <c r="BO58" s="23">
        <f t="shared" si="66"/>
        <v>564.08190587266211</v>
      </c>
      <c r="BP58" s="23">
        <f t="shared" si="66"/>
        <v>564.08190587266211</v>
      </c>
      <c r="BQ58" s="23">
        <f t="shared" si="66"/>
        <v>564.08190587266211</v>
      </c>
      <c r="BR58" s="23">
        <f t="shared" si="66"/>
        <v>564.08190587266211</v>
      </c>
      <c r="BS58" s="23">
        <f t="shared" si="66"/>
        <v>564.08190587266211</v>
      </c>
      <c r="BT58" s="23">
        <f t="shared" ref="BT58:CH58" si="67">IF(BT$35&gt;$E64,$F64*$O64,IF(AND($D64&lt;BT$35,BT$35&lt;=$E64),(BT$35-$D64)*$O64,0))*PI()*($BT$33/1000)</f>
        <v>601.68736626417297</v>
      </c>
      <c r="BU58" s="23">
        <f t="shared" si="67"/>
        <v>601.68736626417297</v>
      </c>
      <c r="BV58" s="23">
        <f t="shared" si="67"/>
        <v>601.68736626417297</v>
      </c>
      <c r="BW58" s="23">
        <f t="shared" si="67"/>
        <v>601.68736626417297</v>
      </c>
      <c r="BX58" s="23">
        <f t="shared" si="67"/>
        <v>601.68736626417297</v>
      </c>
      <c r="BY58" s="23">
        <f t="shared" si="67"/>
        <v>601.68736626417297</v>
      </c>
      <c r="BZ58" s="23">
        <f t="shared" si="67"/>
        <v>601.68736626417297</v>
      </c>
      <c r="CA58" s="23">
        <f t="shared" si="67"/>
        <v>601.68736626417297</v>
      </c>
      <c r="CB58" s="23">
        <f t="shared" si="67"/>
        <v>601.68736626417297</v>
      </c>
      <c r="CC58" s="23">
        <f t="shared" si="67"/>
        <v>601.68736626417297</v>
      </c>
      <c r="CD58" s="23">
        <f t="shared" si="67"/>
        <v>601.68736626417297</v>
      </c>
      <c r="CE58" s="23">
        <f t="shared" si="67"/>
        <v>601.68736626417297</v>
      </c>
      <c r="CF58" s="23">
        <f t="shared" si="67"/>
        <v>601.68736626417297</v>
      </c>
      <c r="CG58" s="23">
        <f t="shared" si="67"/>
        <v>601.68736626417297</v>
      </c>
      <c r="CH58" s="23">
        <f t="shared" si="67"/>
        <v>601.68736626417297</v>
      </c>
      <c r="CI58" s="23">
        <f t="shared" ref="CI58:CW58" si="68">IF(CI$35&gt;$E64,$F64*$O64,IF(AND($D64&lt;CI$35,CI$35&lt;=$E64),(CI$35-$D64)*$O64,0))*PI()*($CI$33/1000)</f>
        <v>639.29282665568371</v>
      </c>
      <c r="CJ58" s="23">
        <f t="shared" si="68"/>
        <v>639.29282665568371</v>
      </c>
      <c r="CK58" s="23">
        <f t="shared" si="68"/>
        <v>639.29282665568371</v>
      </c>
      <c r="CL58" s="23">
        <f t="shared" si="68"/>
        <v>639.29282665568371</v>
      </c>
      <c r="CM58" s="23">
        <f t="shared" si="68"/>
        <v>639.29282665568371</v>
      </c>
      <c r="CN58" s="23">
        <f t="shared" si="68"/>
        <v>639.29282665568371</v>
      </c>
      <c r="CO58" s="23">
        <f t="shared" si="68"/>
        <v>639.29282665568371</v>
      </c>
      <c r="CP58" s="23">
        <f t="shared" si="68"/>
        <v>639.29282665568371</v>
      </c>
      <c r="CQ58" s="23">
        <f t="shared" si="68"/>
        <v>639.29282665568371</v>
      </c>
      <c r="CR58" s="23">
        <f t="shared" si="68"/>
        <v>639.29282665568371</v>
      </c>
      <c r="CS58" s="23">
        <f t="shared" si="68"/>
        <v>639.29282665568371</v>
      </c>
      <c r="CT58" s="23">
        <f t="shared" si="68"/>
        <v>639.29282665568371</v>
      </c>
      <c r="CU58" s="23">
        <f t="shared" si="68"/>
        <v>639.29282665568371</v>
      </c>
      <c r="CV58" s="23">
        <f t="shared" si="68"/>
        <v>639.29282665568371</v>
      </c>
      <c r="CW58" s="23">
        <f t="shared" si="68"/>
        <v>639.29282665568371</v>
      </c>
      <c r="CX58" s="23">
        <f t="shared" ref="CX58:DL58" si="69">IF(CX$35&gt;$E64,$F64*$O64,IF(AND($D64&lt;CX$35,CX$35&lt;=$E64),(CX$35-$D64)*$O64,0))*PI()*($CX$33/1000)</f>
        <v>676.89828704719457</v>
      </c>
      <c r="CY58" s="23">
        <f t="shared" si="69"/>
        <v>676.89828704719457</v>
      </c>
      <c r="CZ58" s="23">
        <f t="shared" si="69"/>
        <v>676.89828704719457</v>
      </c>
      <c r="DA58" s="23">
        <f t="shared" si="69"/>
        <v>676.89828704719457</v>
      </c>
      <c r="DB58" s="23">
        <f t="shared" si="69"/>
        <v>676.89828704719457</v>
      </c>
      <c r="DC58" s="23">
        <f t="shared" si="69"/>
        <v>676.89828704719457</v>
      </c>
      <c r="DD58" s="23">
        <f t="shared" si="69"/>
        <v>676.89828704719457</v>
      </c>
      <c r="DE58" s="23">
        <f t="shared" si="69"/>
        <v>676.89828704719457</v>
      </c>
      <c r="DF58" s="23">
        <f t="shared" si="69"/>
        <v>676.89828704719457</v>
      </c>
      <c r="DG58" s="23">
        <f t="shared" si="69"/>
        <v>676.89828704719457</v>
      </c>
      <c r="DH58" s="23">
        <f t="shared" si="69"/>
        <v>676.89828704719457</v>
      </c>
      <c r="DI58" s="23">
        <f t="shared" si="69"/>
        <v>676.89828704719457</v>
      </c>
      <c r="DJ58" s="23">
        <f t="shared" si="69"/>
        <v>676.89828704719457</v>
      </c>
      <c r="DK58" s="23">
        <f t="shared" si="69"/>
        <v>676.89828704719457</v>
      </c>
      <c r="DL58" s="23">
        <f t="shared" si="69"/>
        <v>676.89828704719457</v>
      </c>
    </row>
    <row r="59" spans="1:116" ht="12.75" customHeight="1" x14ac:dyDescent="0.2">
      <c r="A59" s="4"/>
      <c r="E59" s="5"/>
      <c r="F59" s="5"/>
      <c r="G59" s="5"/>
      <c r="H59" s="5"/>
      <c r="I59" s="5"/>
      <c r="J59" s="5"/>
      <c r="K59" s="5"/>
      <c r="L59" s="5"/>
      <c r="M59" s="5"/>
      <c r="N59" s="168" t="s">
        <v>64</v>
      </c>
      <c r="O59" s="169"/>
      <c r="P59" s="9"/>
      <c r="Q59" s="5"/>
      <c r="R59" s="5"/>
      <c r="S59" s="5" t="s">
        <v>65</v>
      </c>
      <c r="Z59" t="s">
        <v>59</v>
      </c>
      <c r="AA59" s="23">
        <f t="shared" ref="AA59:AO59" si="70">IF(AA$35&gt;$E65,$F65*$O65,IF(AND($D65&lt;AA$35,AA$35&lt;=$E65),(AA$35-$D65)*$O65,0))*PI()*($AA$33/1000)</f>
        <v>729.29829458334495</v>
      </c>
      <c r="AB59" s="23">
        <f t="shared" si="70"/>
        <v>802.22812404167939</v>
      </c>
      <c r="AC59" s="23">
        <f t="shared" si="70"/>
        <v>875.15795350001372</v>
      </c>
      <c r="AD59" s="23">
        <f t="shared" si="70"/>
        <v>948.08778295834827</v>
      </c>
      <c r="AE59" s="23">
        <f t="shared" si="70"/>
        <v>1021.0176124166827</v>
      </c>
      <c r="AF59" s="23">
        <f t="shared" si="70"/>
        <v>1093.9474418750174</v>
      </c>
      <c r="AG59" s="23">
        <f t="shared" si="70"/>
        <v>1166.8772713333519</v>
      </c>
      <c r="AH59" s="23">
        <f t="shared" si="70"/>
        <v>1239.8071007916863</v>
      </c>
      <c r="AI59" s="23">
        <f t="shared" si="70"/>
        <v>1312.7369302500208</v>
      </c>
      <c r="AJ59" s="23">
        <f t="shared" si="70"/>
        <v>1385.6667597083551</v>
      </c>
      <c r="AK59" s="23">
        <f t="shared" si="70"/>
        <v>1458.5965891666899</v>
      </c>
      <c r="AL59" s="23">
        <f t="shared" si="70"/>
        <v>1531.5264186250242</v>
      </c>
      <c r="AM59" s="23">
        <f t="shared" si="70"/>
        <v>1604.4562480833588</v>
      </c>
      <c r="AN59" s="23">
        <f t="shared" si="70"/>
        <v>1677.3860775416933</v>
      </c>
      <c r="AO59" s="23">
        <f t="shared" si="70"/>
        <v>1750.3159070000274</v>
      </c>
      <c r="AP59" s="23">
        <f t="shared" ref="AP59:BD59" si="71">IF(AP$35&gt;$E65,$F65*$O65,IF(AND($D65&lt;AP$35,AP$35&lt;=$E65),(AP$35-$D65)*$O65,0))*PI()*($AP$33/1000)</f>
        <v>785.39816339744834</v>
      </c>
      <c r="AQ59" s="23">
        <f t="shared" si="71"/>
        <v>863.93797973719313</v>
      </c>
      <c r="AR59" s="23">
        <f t="shared" si="71"/>
        <v>942.47779607693781</v>
      </c>
      <c r="AS59" s="23">
        <f t="shared" si="71"/>
        <v>1021.0176124166827</v>
      </c>
      <c r="AT59" s="23">
        <f t="shared" si="71"/>
        <v>1099.5574287564275</v>
      </c>
      <c r="AU59" s="23">
        <f t="shared" si="71"/>
        <v>1178.0972450961724</v>
      </c>
      <c r="AV59" s="23">
        <f t="shared" si="71"/>
        <v>1256.6370614359173</v>
      </c>
      <c r="AW59" s="23">
        <f t="shared" si="71"/>
        <v>1335.176877775662</v>
      </c>
      <c r="AX59" s="23">
        <f t="shared" si="71"/>
        <v>1413.7166941154069</v>
      </c>
      <c r="AY59" s="23">
        <f t="shared" si="71"/>
        <v>1492.2565104551516</v>
      </c>
      <c r="AZ59" s="23">
        <f t="shared" si="71"/>
        <v>1570.7963267948967</v>
      </c>
      <c r="BA59" s="23">
        <f t="shared" si="71"/>
        <v>1649.3361431346414</v>
      </c>
      <c r="BB59" s="23">
        <f t="shared" si="71"/>
        <v>1727.8759594743863</v>
      </c>
      <c r="BC59" s="23">
        <f t="shared" si="71"/>
        <v>1806.4157758141309</v>
      </c>
      <c r="BD59" s="23">
        <f t="shared" si="71"/>
        <v>1884.9555921538756</v>
      </c>
      <c r="BE59" s="23">
        <f t="shared" ref="BE59:BS59" si="72">IF(BE$35&gt;$E65,$F65*$O65,IF(AND($D65&lt;BE$35,BE$35&lt;=$E65),(BE$35-$D65)*$O65,0))*PI()*($BE$33/1000)</f>
        <v>841.49803221155184</v>
      </c>
      <c r="BF59" s="23">
        <f t="shared" si="72"/>
        <v>925.64783543270687</v>
      </c>
      <c r="BG59" s="23">
        <f t="shared" si="72"/>
        <v>1009.797638653862</v>
      </c>
      <c r="BH59" s="23">
        <f t="shared" si="72"/>
        <v>1093.9474418750174</v>
      </c>
      <c r="BI59" s="23">
        <f t="shared" si="72"/>
        <v>1178.0972450961724</v>
      </c>
      <c r="BJ59" s="23">
        <f t="shared" si="72"/>
        <v>1262.2470483173279</v>
      </c>
      <c r="BK59" s="23">
        <f t="shared" si="72"/>
        <v>1346.3968515384829</v>
      </c>
      <c r="BL59" s="23">
        <f t="shared" si="72"/>
        <v>1430.5466547596379</v>
      </c>
      <c r="BM59" s="23">
        <f t="shared" si="72"/>
        <v>1514.6964579807932</v>
      </c>
      <c r="BN59" s="23">
        <f t="shared" si="72"/>
        <v>1598.846261201948</v>
      </c>
      <c r="BO59" s="23">
        <f t="shared" si="72"/>
        <v>1682.9960644231037</v>
      </c>
      <c r="BP59" s="23">
        <f t="shared" si="72"/>
        <v>1767.1458676442585</v>
      </c>
      <c r="BQ59" s="23">
        <f t="shared" si="72"/>
        <v>1851.2956708654137</v>
      </c>
      <c r="BR59" s="23">
        <f t="shared" si="72"/>
        <v>1935.445474086569</v>
      </c>
      <c r="BS59" s="23">
        <f t="shared" si="72"/>
        <v>2019.595277307724</v>
      </c>
      <c r="BT59" s="23">
        <f t="shared" ref="BT59:CH59" si="73">IF(BT$35&gt;$E65,$F65*$O65,IF(AND($D65&lt;BT$35,BT$35&lt;=$E65),(BT$35-$D65)*$O65,0))*PI()*($BT$33/1000)</f>
        <v>897.59790102565535</v>
      </c>
      <c r="BU59" s="23">
        <f t="shared" si="73"/>
        <v>987.35769112822072</v>
      </c>
      <c r="BV59" s="23">
        <f t="shared" si="73"/>
        <v>1077.1174812307861</v>
      </c>
      <c r="BW59" s="23">
        <f t="shared" si="73"/>
        <v>1166.8772713333517</v>
      </c>
      <c r="BX59" s="23">
        <f t="shared" si="73"/>
        <v>1256.6370614359173</v>
      </c>
      <c r="BY59" s="23">
        <f t="shared" si="73"/>
        <v>1346.3968515384831</v>
      </c>
      <c r="BZ59" s="23">
        <f t="shared" si="73"/>
        <v>1436.1566416410485</v>
      </c>
      <c r="CA59" s="23">
        <f t="shared" si="73"/>
        <v>1525.9164317436139</v>
      </c>
      <c r="CB59" s="23">
        <f t="shared" si="73"/>
        <v>1615.6762218461795</v>
      </c>
      <c r="CC59" s="23">
        <f t="shared" si="73"/>
        <v>1705.4360119487446</v>
      </c>
      <c r="CD59" s="23">
        <f t="shared" si="73"/>
        <v>1795.1958020513107</v>
      </c>
      <c r="CE59" s="23">
        <f t="shared" si="73"/>
        <v>1884.9555921538758</v>
      </c>
      <c r="CF59" s="23">
        <f t="shared" si="73"/>
        <v>1974.7153822564414</v>
      </c>
      <c r="CG59" s="23">
        <f t="shared" si="73"/>
        <v>2064.475172359007</v>
      </c>
      <c r="CH59" s="23">
        <f t="shared" si="73"/>
        <v>2154.2349624615722</v>
      </c>
      <c r="CI59" s="23">
        <f t="shared" ref="CI59:CW59" si="74">IF(CI$35&gt;$E65,$F65*$O65,IF(AND($D65&lt;CI$35,CI$35&lt;=$E65),(CI$35-$D65)*$O65,0))*PI()*($CI$33/1000)</f>
        <v>953.69776983975873</v>
      </c>
      <c r="CJ59" s="23">
        <f t="shared" si="74"/>
        <v>1049.0675468237346</v>
      </c>
      <c r="CK59" s="23">
        <f t="shared" si="74"/>
        <v>1144.4373238077103</v>
      </c>
      <c r="CL59" s="23">
        <f t="shared" si="74"/>
        <v>1239.8071007916863</v>
      </c>
      <c r="CM59" s="23">
        <f t="shared" si="74"/>
        <v>1335.176877775662</v>
      </c>
      <c r="CN59" s="23">
        <f t="shared" si="74"/>
        <v>1430.5466547596382</v>
      </c>
      <c r="CO59" s="23">
        <f t="shared" si="74"/>
        <v>1525.9164317436139</v>
      </c>
      <c r="CP59" s="23">
        <f t="shared" si="74"/>
        <v>1621.2862087275896</v>
      </c>
      <c r="CQ59" s="23">
        <f t="shared" si="74"/>
        <v>1716.6559857115656</v>
      </c>
      <c r="CR59" s="23">
        <f t="shared" si="74"/>
        <v>1812.0257626955411</v>
      </c>
      <c r="CS59" s="23">
        <f t="shared" si="74"/>
        <v>1907.3955396795175</v>
      </c>
      <c r="CT59" s="23">
        <f t="shared" si="74"/>
        <v>2002.765316663493</v>
      </c>
      <c r="CU59" s="23">
        <f t="shared" si="74"/>
        <v>2098.1350936474691</v>
      </c>
      <c r="CV59" s="23">
        <f t="shared" si="74"/>
        <v>2193.5048706314451</v>
      </c>
      <c r="CW59" s="23">
        <f t="shared" si="74"/>
        <v>2288.8746476154206</v>
      </c>
      <c r="CX59" s="23">
        <f t="shared" ref="CX59:DL59" si="75">IF(CX$35&gt;$E65,$F65*$O65,IF(AND($D65&lt;CX$35,CX$35&lt;=$E65),(CX$35-$D65)*$O65,0))*PI()*($CX$33/1000)</f>
        <v>1009.7976386538622</v>
      </c>
      <c r="CY59" s="23">
        <f t="shared" si="75"/>
        <v>1110.7774025192484</v>
      </c>
      <c r="CZ59" s="23">
        <f t="shared" si="75"/>
        <v>1211.7571663846345</v>
      </c>
      <c r="DA59" s="23">
        <f t="shared" si="75"/>
        <v>1312.7369302500208</v>
      </c>
      <c r="DB59" s="23">
        <f t="shared" si="75"/>
        <v>1413.7166941154069</v>
      </c>
      <c r="DC59" s="23">
        <f t="shared" si="75"/>
        <v>1514.6964579807934</v>
      </c>
      <c r="DD59" s="23">
        <f t="shared" si="75"/>
        <v>1615.6762218461795</v>
      </c>
      <c r="DE59" s="23">
        <f t="shared" si="75"/>
        <v>1716.6559857115656</v>
      </c>
      <c r="DF59" s="23">
        <f t="shared" si="75"/>
        <v>1817.6357495769519</v>
      </c>
      <c r="DG59" s="23">
        <f t="shared" si="75"/>
        <v>1918.6155134423377</v>
      </c>
      <c r="DH59" s="23">
        <f t="shared" si="75"/>
        <v>2019.5952773077245</v>
      </c>
      <c r="DI59" s="23">
        <f t="shared" si="75"/>
        <v>2120.5750411731105</v>
      </c>
      <c r="DJ59" s="23">
        <f t="shared" si="75"/>
        <v>2221.5548050384969</v>
      </c>
      <c r="DK59" s="23">
        <f t="shared" si="75"/>
        <v>2322.5345689038832</v>
      </c>
      <c r="DL59" s="23">
        <f t="shared" si="75"/>
        <v>2423.514332769269</v>
      </c>
    </row>
    <row r="60" spans="1:116" ht="12.75" customHeight="1" thickBot="1" x14ac:dyDescent="0.25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170"/>
      <c r="O60" s="171"/>
      <c r="P60" s="9"/>
      <c r="Q60" s="5"/>
      <c r="R60" s="5"/>
      <c r="S60" t="s">
        <v>66</v>
      </c>
      <c r="T60" t="s">
        <v>67</v>
      </c>
      <c r="U60" s="5"/>
      <c r="V60" s="5"/>
      <c r="X60" s="67" t="s">
        <v>84</v>
      </c>
      <c r="Z60" t="s">
        <v>60</v>
      </c>
      <c r="AA60" s="23">
        <f t="shared" ref="AA60:AO60" si="76">IF(AA$35&gt;$E66,$F66*$O66,IF(AND($D66&lt;AA$35,AA$35&lt;=$E66),(AA$35-$D66)*$O66,0))*PI()*($AA$33/1000)</f>
        <v>0</v>
      </c>
      <c r="AB60" s="23">
        <f t="shared" si="76"/>
        <v>0</v>
      </c>
      <c r="AC60" s="23">
        <f t="shared" si="76"/>
        <v>0</v>
      </c>
      <c r="AD60" s="23">
        <f t="shared" si="76"/>
        <v>0</v>
      </c>
      <c r="AE60" s="23">
        <f t="shared" si="76"/>
        <v>0</v>
      </c>
      <c r="AF60" s="23">
        <f t="shared" si="76"/>
        <v>0</v>
      </c>
      <c r="AG60" s="23">
        <f t="shared" si="76"/>
        <v>0</v>
      </c>
      <c r="AH60" s="23">
        <f t="shared" si="76"/>
        <v>0</v>
      </c>
      <c r="AI60" s="23">
        <f t="shared" si="76"/>
        <v>0</v>
      </c>
      <c r="AJ60" s="23">
        <f t="shared" si="76"/>
        <v>0</v>
      </c>
      <c r="AK60" s="23">
        <f t="shared" si="76"/>
        <v>0</v>
      </c>
      <c r="AL60" s="23">
        <f t="shared" si="76"/>
        <v>0</v>
      </c>
      <c r="AM60" s="23">
        <f t="shared" si="76"/>
        <v>0</v>
      </c>
      <c r="AN60" s="23">
        <f t="shared" si="76"/>
        <v>0</v>
      </c>
      <c r="AO60" s="23">
        <f t="shared" si="76"/>
        <v>0</v>
      </c>
      <c r="AP60" s="23">
        <f t="shared" ref="AP60:BD60" si="77">IF(AP$35&gt;$E66,$F66*$O66,IF(AND($D66&lt;AP$35,AP$35&lt;=$E66),(AP$35-$D66)*$O66,0))*PI()*($AP$33/1000)</f>
        <v>0</v>
      </c>
      <c r="AQ60" s="23">
        <f t="shared" si="77"/>
        <v>0</v>
      </c>
      <c r="AR60" s="23">
        <f t="shared" si="77"/>
        <v>0</v>
      </c>
      <c r="AS60" s="23">
        <f t="shared" si="77"/>
        <v>0</v>
      </c>
      <c r="AT60" s="23">
        <f t="shared" si="77"/>
        <v>0</v>
      </c>
      <c r="AU60" s="23">
        <f t="shared" si="77"/>
        <v>0</v>
      </c>
      <c r="AV60" s="23">
        <f t="shared" si="77"/>
        <v>0</v>
      </c>
      <c r="AW60" s="23">
        <f t="shared" si="77"/>
        <v>0</v>
      </c>
      <c r="AX60" s="23">
        <f t="shared" si="77"/>
        <v>0</v>
      </c>
      <c r="AY60" s="23">
        <f t="shared" si="77"/>
        <v>0</v>
      </c>
      <c r="AZ60" s="23">
        <f t="shared" si="77"/>
        <v>0</v>
      </c>
      <c r="BA60" s="23">
        <f t="shared" si="77"/>
        <v>0</v>
      </c>
      <c r="BB60" s="23">
        <f t="shared" si="77"/>
        <v>0</v>
      </c>
      <c r="BC60" s="23">
        <f t="shared" si="77"/>
        <v>0</v>
      </c>
      <c r="BD60" s="23">
        <f t="shared" si="77"/>
        <v>0</v>
      </c>
      <c r="BE60" s="23">
        <f t="shared" ref="BE60:BS60" si="78">IF(BE$35&gt;$E66,$F66*$O66,IF(AND($D66&lt;BE$35,BE$35&lt;=$E66),(BE$35-$D66)*$O66,0))*PI()*($BE$33/1000)</f>
        <v>0</v>
      </c>
      <c r="BF60" s="23">
        <f t="shared" si="78"/>
        <v>0</v>
      </c>
      <c r="BG60" s="23">
        <f t="shared" si="78"/>
        <v>0</v>
      </c>
      <c r="BH60" s="23">
        <f t="shared" si="78"/>
        <v>0</v>
      </c>
      <c r="BI60" s="23">
        <f t="shared" si="78"/>
        <v>0</v>
      </c>
      <c r="BJ60" s="23">
        <f t="shared" si="78"/>
        <v>0</v>
      </c>
      <c r="BK60" s="23">
        <f t="shared" si="78"/>
        <v>0</v>
      </c>
      <c r="BL60" s="23">
        <f t="shared" si="78"/>
        <v>0</v>
      </c>
      <c r="BM60" s="23">
        <f t="shared" si="78"/>
        <v>0</v>
      </c>
      <c r="BN60" s="23">
        <f t="shared" si="78"/>
        <v>0</v>
      </c>
      <c r="BO60" s="23">
        <f t="shared" si="78"/>
        <v>0</v>
      </c>
      <c r="BP60" s="23">
        <f t="shared" si="78"/>
        <v>0</v>
      </c>
      <c r="BQ60" s="23">
        <f t="shared" si="78"/>
        <v>0</v>
      </c>
      <c r="BR60" s="23">
        <f t="shared" si="78"/>
        <v>0</v>
      </c>
      <c r="BS60" s="23">
        <f t="shared" si="78"/>
        <v>0</v>
      </c>
      <c r="BT60" s="23">
        <f t="shared" ref="BT60:CH60" si="79">IF(BT$35&gt;$E66,$F66*$O66,IF(AND($D66&lt;BT$35,BT$35&lt;=$E66),(BT$35-$D66)*$O66,0))*PI()*($BT$33/1000)</f>
        <v>0</v>
      </c>
      <c r="BU60" s="23">
        <f t="shared" si="79"/>
        <v>0</v>
      </c>
      <c r="BV60" s="23">
        <f t="shared" si="79"/>
        <v>0</v>
      </c>
      <c r="BW60" s="23">
        <f t="shared" si="79"/>
        <v>0</v>
      </c>
      <c r="BX60" s="23">
        <f t="shared" si="79"/>
        <v>0</v>
      </c>
      <c r="BY60" s="23">
        <f t="shared" si="79"/>
        <v>0</v>
      </c>
      <c r="BZ60" s="23">
        <f t="shared" si="79"/>
        <v>0</v>
      </c>
      <c r="CA60" s="23">
        <f t="shared" si="79"/>
        <v>0</v>
      </c>
      <c r="CB60" s="23">
        <f t="shared" si="79"/>
        <v>0</v>
      </c>
      <c r="CC60" s="23">
        <f t="shared" si="79"/>
        <v>0</v>
      </c>
      <c r="CD60" s="23">
        <f t="shared" si="79"/>
        <v>0</v>
      </c>
      <c r="CE60" s="23">
        <f t="shared" si="79"/>
        <v>0</v>
      </c>
      <c r="CF60" s="23">
        <f t="shared" si="79"/>
        <v>0</v>
      </c>
      <c r="CG60" s="23">
        <f t="shared" si="79"/>
        <v>0</v>
      </c>
      <c r="CH60" s="23">
        <f t="shared" si="79"/>
        <v>0</v>
      </c>
      <c r="CI60" s="23">
        <f t="shared" ref="CI60:CW60" si="80">IF(CI$35&gt;$E66,$F66*$O66,IF(AND($D66&lt;CI$35,CI$35&lt;=$E66),(CI$35-$D66)*$O66,0))*PI()*($CI$33/1000)</f>
        <v>0</v>
      </c>
      <c r="CJ60" s="23">
        <f t="shared" si="80"/>
        <v>0</v>
      </c>
      <c r="CK60" s="23">
        <f t="shared" si="80"/>
        <v>0</v>
      </c>
      <c r="CL60" s="23">
        <f t="shared" si="80"/>
        <v>0</v>
      </c>
      <c r="CM60" s="23">
        <f t="shared" si="80"/>
        <v>0</v>
      </c>
      <c r="CN60" s="23">
        <f t="shared" si="80"/>
        <v>0</v>
      </c>
      <c r="CO60" s="23">
        <f t="shared" si="80"/>
        <v>0</v>
      </c>
      <c r="CP60" s="23">
        <f t="shared" si="80"/>
        <v>0</v>
      </c>
      <c r="CQ60" s="23">
        <f t="shared" si="80"/>
        <v>0</v>
      </c>
      <c r="CR60" s="23">
        <f t="shared" si="80"/>
        <v>0</v>
      </c>
      <c r="CS60" s="23">
        <f t="shared" si="80"/>
        <v>0</v>
      </c>
      <c r="CT60" s="23">
        <f t="shared" si="80"/>
        <v>0</v>
      </c>
      <c r="CU60" s="23">
        <f t="shared" si="80"/>
        <v>0</v>
      </c>
      <c r="CV60" s="23">
        <f t="shared" si="80"/>
        <v>0</v>
      </c>
      <c r="CW60" s="23">
        <f t="shared" si="80"/>
        <v>0</v>
      </c>
      <c r="CX60" s="23">
        <f t="shared" ref="CX60:DL60" si="81">IF(CX$35&gt;$E66,$F66*$O66,IF(AND($D66&lt;CX$35,CX$35&lt;=$E66),(CX$35-$D66)*$O66,0))*PI()*($CX$33/1000)</f>
        <v>0</v>
      </c>
      <c r="CY60" s="23">
        <f t="shared" si="81"/>
        <v>0</v>
      </c>
      <c r="CZ60" s="23">
        <f t="shared" si="81"/>
        <v>0</v>
      </c>
      <c r="DA60" s="23">
        <f t="shared" si="81"/>
        <v>0</v>
      </c>
      <c r="DB60" s="23">
        <f t="shared" si="81"/>
        <v>0</v>
      </c>
      <c r="DC60" s="23">
        <f t="shared" si="81"/>
        <v>0</v>
      </c>
      <c r="DD60" s="23">
        <f t="shared" si="81"/>
        <v>0</v>
      </c>
      <c r="DE60" s="23">
        <f t="shared" si="81"/>
        <v>0</v>
      </c>
      <c r="DF60" s="23">
        <f t="shared" si="81"/>
        <v>0</v>
      </c>
      <c r="DG60" s="23">
        <f t="shared" si="81"/>
        <v>0</v>
      </c>
      <c r="DH60" s="23">
        <f t="shared" si="81"/>
        <v>0</v>
      </c>
      <c r="DI60" s="23">
        <f t="shared" si="81"/>
        <v>0</v>
      </c>
      <c r="DJ60" s="23">
        <f t="shared" si="81"/>
        <v>0</v>
      </c>
      <c r="DK60" s="23">
        <f t="shared" si="81"/>
        <v>0</v>
      </c>
      <c r="DL60" s="23">
        <f t="shared" si="81"/>
        <v>0</v>
      </c>
    </row>
    <row r="61" spans="1:116" ht="12.75" customHeight="1" x14ac:dyDescent="0.25">
      <c r="A61" s="4"/>
      <c r="B61" s="5"/>
      <c r="C61" s="75" t="s">
        <v>101</v>
      </c>
      <c r="D61" s="40" t="s">
        <v>9</v>
      </c>
      <c r="E61" s="40" t="s">
        <v>10</v>
      </c>
      <c r="F61" s="40" t="s">
        <v>12</v>
      </c>
      <c r="G61" s="69" t="s">
        <v>70</v>
      </c>
      <c r="H61" s="69" t="s">
        <v>71</v>
      </c>
      <c r="I61" s="69" t="s">
        <v>72</v>
      </c>
      <c r="J61" s="69" t="s">
        <v>18</v>
      </c>
      <c r="K61" s="47" t="s">
        <v>27</v>
      </c>
      <c r="L61" s="181" t="s">
        <v>19</v>
      </c>
      <c r="M61" s="181" t="s">
        <v>28</v>
      </c>
      <c r="N61" s="72" t="s">
        <v>68</v>
      </c>
      <c r="O61" s="86" t="s">
        <v>69</v>
      </c>
      <c r="P61" s="9"/>
      <c r="Q61" s="5"/>
      <c r="R61" s="5"/>
      <c r="S61" t="s">
        <v>3</v>
      </c>
      <c r="U61" s="5"/>
      <c r="V61" s="5"/>
      <c r="X61" s="67" t="s">
        <v>85</v>
      </c>
      <c r="Z61" t="s">
        <v>61</v>
      </c>
      <c r="AA61" s="23">
        <f t="shared" ref="AA61:AO61" si="82">IF(AA$35&gt;$E67,$F67*$O67,IF(AND($D67&lt;AA$35,AA$35&lt;=$E67),(AA$35-$D67)*$O67,0))*PI()*($AA$33/1000)</f>
        <v>0</v>
      </c>
      <c r="AB61" s="23">
        <f t="shared" si="82"/>
        <v>0</v>
      </c>
      <c r="AC61" s="23">
        <f t="shared" si="82"/>
        <v>0</v>
      </c>
      <c r="AD61" s="23">
        <f t="shared" si="82"/>
        <v>0</v>
      </c>
      <c r="AE61" s="23">
        <f t="shared" si="82"/>
        <v>0</v>
      </c>
      <c r="AF61" s="23">
        <f t="shared" si="82"/>
        <v>0</v>
      </c>
      <c r="AG61" s="23">
        <f t="shared" si="82"/>
        <v>0</v>
      </c>
      <c r="AH61" s="23">
        <f t="shared" si="82"/>
        <v>0</v>
      </c>
      <c r="AI61" s="23">
        <f t="shared" si="82"/>
        <v>0</v>
      </c>
      <c r="AJ61" s="23">
        <f t="shared" si="82"/>
        <v>0</v>
      </c>
      <c r="AK61" s="23">
        <f t="shared" si="82"/>
        <v>0</v>
      </c>
      <c r="AL61" s="23">
        <f t="shared" si="82"/>
        <v>0</v>
      </c>
      <c r="AM61" s="23">
        <f t="shared" si="82"/>
        <v>0</v>
      </c>
      <c r="AN61" s="23">
        <f t="shared" si="82"/>
        <v>0</v>
      </c>
      <c r="AO61" s="23">
        <f t="shared" si="82"/>
        <v>0</v>
      </c>
      <c r="AP61" s="23">
        <f t="shared" ref="AP61:BD61" si="83">IF(AP$35&gt;$E67,$F67*$O67,IF(AND($D67&lt;AP$35,AP$35&lt;=$E67),(AP$35-$D67)*$O67,0))*PI()*($AP$33/1000)</f>
        <v>0</v>
      </c>
      <c r="AQ61" s="23">
        <f t="shared" si="83"/>
        <v>0</v>
      </c>
      <c r="AR61" s="23">
        <f t="shared" si="83"/>
        <v>0</v>
      </c>
      <c r="AS61" s="23">
        <f t="shared" si="83"/>
        <v>0</v>
      </c>
      <c r="AT61" s="23">
        <f t="shared" si="83"/>
        <v>0</v>
      </c>
      <c r="AU61" s="23">
        <f t="shared" si="83"/>
        <v>0</v>
      </c>
      <c r="AV61" s="23">
        <f t="shared" si="83"/>
        <v>0</v>
      </c>
      <c r="AW61" s="23">
        <f t="shared" si="83"/>
        <v>0</v>
      </c>
      <c r="AX61" s="23">
        <f t="shared" si="83"/>
        <v>0</v>
      </c>
      <c r="AY61" s="23">
        <f t="shared" si="83"/>
        <v>0</v>
      </c>
      <c r="AZ61" s="23">
        <f t="shared" si="83"/>
        <v>0</v>
      </c>
      <c r="BA61" s="23">
        <f t="shared" si="83"/>
        <v>0</v>
      </c>
      <c r="BB61" s="23">
        <f t="shared" si="83"/>
        <v>0</v>
      </c>
      <c r="BC61" s="23">
        <f t="shared" si="83"/>
        <v>0</v>
      </c>
      <c r="BD61" s="23">
        <f t="shared" si="83"/>
        <v>0</v>
      </c>
      <c r="BE61" s="23">
        <f t="shared" ref="BE61:BS61" si="84">IF(BE$35&gt;$E67,$F67*$O67,IF(AND($D67&lt;BE$35,BE$35&lt;=$E67),(BE$35-$D67)*$O67,0))*PI()*($BE$33/1000)</f>
        <v>0</v>
      </c>
      <c r="BF61" s="23">
        <f t="shared" si="84"/>
        <v>0</v>
      </c>
      <c r="BG61" s="23">
        <f t="shared" si="84"/>
        <v>0</v>
      </c>
      <c r="BH61" s="23">
        <f t="shared" si="84"/>
        <v>0</v>
      </c>
      <c r="BI61" s="23">
        <f t="shared" si="84"/>
        <v>0</v>
      </c>
      <c r="BJ61" s="23">
        <f t="shared" si="84"/>
        <v>0</v>
      </c>
      <c r="BK61" s="23">
        <f t="shared" si="84"/>
        <v>0</v>
      </c>
      <c r="BL61" s="23">
        <f t="shared" si="84"/>
        <v>0</v>
      </c>
      <c r="BM61" s="23">
        <f t="shared" si="84"/>
        <v>0</v>
      </c>
      <c r="BN61" s="23">
        <f t="shared" si="84"/>
        <v>0</v>
      </c>
      <c r="BO61" s="23">
        <f t="shared" si="84"/>
        <v>0</v>
      </c>
      <c r="BP61" s="23">
        <f t="shared" si="84"/>
        <v>0</v>
      </c>
      <c r="BQ61" s="23">
        <f t="shared" si="84"/>
        <v>0</v>
      </c>
      <c r="BR61" s="23">
        <f t="shared" si="84"/>
        <v>0</v>
      </c>
      <c r="BS61" s="23">
        <f t="shared" si="84"/>
        <v>0</v>
      </c>
      <c r="BT61" s="23">
        <f t="shared" ref="BT61:CH61" si="85">IF(BT$35&gt;$E67,$F67*$O67,IF(AND($D67&lt;BT$35,BT$35&lt;=$E67),(BT$35-$D67)*$O67,0))*PI()*($BT$33/1000)</f>
        <v>0</v>
      </c>
      <c r="BU61" s="23">
        <f t="shared" si="85"/>
        <v>0</v>
      </c>
      <c r="BV61" s="23">
        <f t="shared" si="85"/>
        <v>0</v>
      </c>
      <c r="BW61" s="23">
        <f t="shared" si="85"/>
        <v>0</v>
      </c>
      <c r="BX61" s="23">
        <f t="shared" si="85"/>
        <v>0</v>
      </c>
      <c r="BY61" s="23">
        <f t="shared" si="85"/>
        <v>0</v>
      </c>
      <c r="BZ61" s="23">
        <f t="shared" si="85"/>
        <v>0</v>
      </c>
      <c r="CA61" s="23">
        <f t="shared" si="85"/>
        <v>0</v>
      </c>
      <c r="CB61" s="23">
        <f t="shared" si="85"/>
        <v>0</v>
      </c>
      <c r="CC61" s="23">
        <f t="shared" si="85"/>
        <v>0</v>
      </c>
      <c r="CD61" s="23">
        <f t="shared" si="85"/>
        <v>0</v>
      </c>
      <c r="CE61" s="23">
        <f t="shared" si="85"/>
        <v>0</v>
      </c>
      <c r="CF61" s="23">
        <f t="shared" si="85"/>
        <v>0</v>
      </c>
      <c r="CG61" s="23">
        <f t="shared" si="85"/>
        <v>0</v>
      </c>
      <c r="CH61" s="23">
        <f t="shared" si="85"/>
        <v>0</v>
      </c>
      <c r="CI61" s="23">
        <f t="shared" ref="CI61:CW61" si="86">IF(CI$35&gt;$E67,$F67*$O67,IF(AND($D67&lt;CI$35,CI$35&lt;=$E67),(CI$35-$D67)*$O67,0))*PI()*($CI$33/1000)</f>
        <v>0</v>
      </c>
      <c r="CJ61" s="23">
        <f t="shared" si="86"/>
        <v>0</v>
      </c>
      <c r="CK61" s="23">
        <f t="shared" si="86"/>
        <v>0</v>
      </c>
      <c r="CL61" s="23">
        <f t="shared" si="86"/>
        <v>0</v>
      </c>
      <c r="CM61" s="23">
        <f t="shared" si="86"/>
        <v>0</v>
      </c>
      <c r="CN61" s="23">
        <f t="shared" si="86"/>
        <v>0</v>
      </c>
      <c r="CO61" s="23">
        <f t="shared" si="86"/>
        <v>0</v>
      </c>
      <c r="CP61" s="23">
        <f t="shared" si="86"/>
        <v>0</v>
      </c>
      <c r="CQ61" s="23">
        <f t="shared" si="86"/>
        <v>0</v>
      </c>
      <c r="CR61" s="23">
        <f t="shared" si="86"/>
        <v>0</v>
      </c>
      <c r="CS61" s="23">
        <f t="shared" si="86"/>
        <v>0</v>
      </c>
      <c r="CT61" s="23">
        <f t="shared" si="86"/>
        <v>0</v>
      </c>
      <c r="CU61" s="23">
        <f t="shared" si="86"/>
        <v>0</v>
      </c>
      <c r="CV61" s="23">
        <f t="shared" si="86"/>
        <v>0</v>
      </c>
      <c r="CW61" s="23">
        <f t="shared" si="86"/>
        <v>0</v>
      </c>
      <c r="CX61" s="23">
        <f t="shared" ref="CX61:DL61" si="87">IF(CX$35&gt;$E67,$F67*$O67,IF(AND($D67&lt;CX$35,CX$35&lt;=$E67),(CX$35-$D67)*$O67,0))*PI()*($CX$33/1000)</f>
        <v>0</v>
      </c>
      <c r="CY61" s="23">
        <f t="shared" si="87"/>
        <v>0</v>
      </c>
      <c r="CZ61" s="23">
        <f t="shared" si="87"/>
        <v>0</v>
      </c>
      <c r="DA61" s="23">
        <f t="shared" si="87"/>
        <v>0</v>
      </c>
      <c r="DB61" s="23">
        <f t="shared" si="87"/>
        <v>0</v>
      </c>
      <c r="DC61" s="23">
        <f t="shared" si="87"/>
        <v>0</v>
      </c>
      <c r="DD61" s="23">
        <f t="shared" si="87"/>
        <v>0</v>
      </c>
      <c r="DE61" s="23">
        <f t="shared" si="87"/>
        <v>0</v>
      </c>
      <c r="DF61" s="23">
        <f t="shared" si="87"/>
        <v>0</v>
      </c>
      <c r="DG61" s="23">
        <f t="shared" si="87"/>
        <v>0</v>
      </c>
      <c r="DH61" s="23">
        <f t="shared" si="87"/>
        <v>0</v>
      </c>
      <c r="DI61" s="23">
        <f t="shared" si="87"/>
        <v>0</v>
      </c>
      <c r="DJ61" s="23">
        <f t="shared" si="87"/>
        <v>0</v>
      </c>
      <c r="DK61" s="23">
        <f t="shared" si="87"/>
        <v>0</v>
      </c>
      <c r="DL61" s="23">
        <f t="shared" si="87"/>
        <v>0</v>
      </c>
    </row>
    <row r="62" spans="1:116" ht="12.75" customHeight="1" thickBot="1" x14ac:dyDescent="0.25">
      <c r="A62" s="4"/>
      <c r="B62" s="5"/>
      <c r="C62" s="76" t="s">
        <v>102</v>
      </c>
      <c r="D62" s="42" t="s">
        <v>11</v>
      </c>
      <c r="E62" s="38" t="s">
        <v>11</v>
      </c>
      <c r="F62" s="42" t="s">
        <v>11</v>
      </c>
      <c r="G62" s="73" t="s">
        <v>14</v>
      </c>
      <c r="H62" s="73" t="s">
        <v>14</v>
      </c>
      <c r="I62" s="73" t="s">
        <v>3</v>
      </c>
      <c r="J62" s="65" t="s">
        <v>1</v>
      </c>
      <c r="K62" s="74" t="s">
        <v>3</v>
      </c>
      <c r="L62" s="182"/>
      <c r="M62" s="182"/>
      <c r="N62" s="74" t="s">
        <v>0</v>
      </c>
      <c r="O62" s="87" t="s">
        <v>3</v>
      </c>
      <c r="P62" s="9"/>
      <c r="Q62" s="5"/>
      <c r="R62" s="5"/>
      <c r="S62">
        <f>MIN(E63,A$46)*G63+(E63-MIN(E63,A$46))*(H63-10)</f>
        <v>32</v>
      </c>
      <c r="T62">
        <f>F63*G63</f>
        <v>32</v>
      </c>
      <c r="U62" s="5"/>
      <c r="V62" s="88">
        <f>RADIANS(J63)</f>
        <v>0</v>
      </c>
      <c r="Z62" s="67" t="s">
        <v>126</v>
      </c>
      <c r="AA62" s="23">
        <f t="shared" ref="AA62:BF62" si="88">SUM(AA57:AA61)</f>
        <v>1218.1696880796221</v>
      </c>
      <c r="AB62" s="23">
        <f t="shared" si="88"/>
        <v>1291.0995175379564</v>
      </c>
      <c r="AC62" s="23">
        <f t="shared" si="88"/>
        <v>1364.0293469962908</v>
      </c>
      <c r="AD62" s="23">
        <f t="shared" si="88"/>
        <v>1436.9591764546253</v>
      </c>
      <c r="AE62" s="23">
        <f t="shared" si="88"/>
        <v>1509.8890059129599</v>
      </c>
      <c r="AF62" s="23">
        <f t="shared" si="88"/>
        <v>1582.8188353712944</v>
      </c>
      <c r="AG62" s="23">
        <f t="shared" si="88"/>
        <v>1655.748664829629</v>
      </c>
      <c r="AH62" s="23">
        <f t="shared" si="88"/>
        <v>1728.6784942879633</v>
      </c>
      <c r="AI62" s="23">
        <f t="shared" si="88"/>
        <v>1801.6083237462979</v>
      </c>
      <c r="AJ62" s="23">
        <f t="shared" si="88"/>
        <v>1874.5381532046322</v>
      </c>
      <c r="AK62" s="23">
        <f t="shared" si="88"/>
        <v>1947.467982662967</v>
      </c>
      <c r="AL62" s="23">
        <f t="shared" si="88"/>
        <v>2020.3978121213013</v>
      </c>
      <c r="AM62" s="23">
        <f t="shared" si="88"/>
        <v>2093.3276415796358</v>
      </c>
      <c r="AN62" s="23">
        <f t="shared" si="88"/>
        <v>2166.2574710379704</v>
      </c>
      <c r="AO62" s="23">
        <f t="shared" si="88"/>
        <v>2239.1873004963045</v>
      </c>
      <c r="AP62" s="23">
        <f t="shared" si="88"/>
        <v>1311.8750487011312</v>
      </c>
      <c r="AQ62" s="23">
        <f t="shared" si="88"/>
        <v>1390.4148650408761</v>
      </c>
      <c r="AR62" s="23">
        <f t="shared" si="88"/>
        <v>1468.9546813806207</v>
      </c>
      <c r="AS62" s="23">
        <f t="shared" si="88"/>
        <v>1547.4944977203656</v>
      </c>
      <c r="AT62" s="23">
        <f t="shared" si="88"/>
        <v>1626.0343140601103</v>
      </c>
      <c r="AU62" s="23">
        <f t="shared" si="88"/>
        <v>1704.5741303998552</v>
      </c>
      <c r="AV62" s="23">
        <f t="shared" si="88"/>
        <v>1783.1139467396001</v>
      </c>
      <c r="AW62" s="23">
        <f t="shared" si="88"/>
        <v>1861.653763079345</v>
      </c>
      <c r="AX62" s="23">
        <f t="shared" si="88"/>
        <v>1940.1935794190899</v>
      </c>
      <c r="AY62" s="23">
        <f t="shared" si="88"/>
        <v>2018.7333957588344</v>
      </c>
      <c r="AZ62" s="23">
        <f t="shared" si="88"/>
        <v>2097.2732120985797</v>
      </c>
      <c r="BA62" s="23">
        <f t="shared" si="88"/>
        <v>2175.8130284383242</v>
      </c>
      <c r="BB62" s="23">
        <f t="shared" si="88"/>
        <v>2254.3528447780691</v>
      </c>
      <c r="BC62" s="23">
        <f t="shared" si="88"/>
        <v>2332.892661117814</v>
      </c>
      <c r="BD62" s="23">
        <f t="shared" si="88"/>
        <v>2411.4324774575584</v>
      </c>
      <c r="BE62" s="23">
        <f t="shared" si="88"/>
        <v>1405.5804093226407</v>
      </c>
      <c r="BF62" s="23">
        <f t="shared" si="88"/>
        <v>1489.7302125437959</v>
      </c>
      <c r="BG62" s="23">
        <f t="shared" ref="BG62:CL62" si="89">SUM(BG57:BG61)</f>
        <v>1573.8800157649509</v>
      </c>
      <c r="BH62" s="23">
        <f t="shared" si="89"/>
        <v>1658.0298189861064</v>
      </c>
      <c r="BI62" s="23">
        <f t="shared" si="89"/>
        <v>1742.1796222072612</v>
      </c>
      <c r="BJ62" s="23">
        <f t="shared" si="89"/>
        <v>1826.3294254284169</v>
      </c>
      <c r="BK62" s="23">
        <f t="shared" si="89"/>
        <v>1910.4792286495717</v>
      </c>
      <c r="BL62" s="23">
        <f t="shared" si="89"/>
        <v>1994.629031870727</v>
      </c>
      <c r="BM62" s="23">
        <f t="shared" si="89"/>
        <v>2078.7788350918822</v>
      </c>
      <c r="BN62" s="23">
        <f t="shared" si="89"/>
        <v>2162.928638313037</v>
      </c>
      <c r="BO62" s="23">
        <f t="shared" si="89"/>
        <v>2247.0784415341927</v>
      </c>
      <c r="BP62" s="23">
        <f t="shared" si="89"/>
        <v>2331.2282447553475</v>
      </c>
      <c r="BQ62" s="23">
        <f t="shared" si="89"/>
        <v>2415.3780479765028</v>
      </c>
      <c r="BR62" s="23">
        <f t="shared" si="89"/>
        <v>2499.527851197658</v>
      </c>
      <c r="BS62" s="23">
        <f t="shared" si="89"/>
        <v>2583.6776544188128</v>
      </c>
      <c r="BT62" s="23">
        <f t="shared" si="89"/>
        <v>1499.2857699441502</v>
      </c>
      <c r="BU62" s="23">
        <f t="shared" si="89"/>
        <v>1589.0455600467158</v>
      </c>
      <c r="BV62" s="23">
        <f t="shared" si="89"/>
        <v>1678.8053501492809</v>
      </c>
      <c r="BW62" s="23">
        <f t="shared" si="89"/>
        <v>1768.5651402518465</v>
      </c>
      <c r="BX62" s="23">
        <f t="shared" si="89"/>
        <v>1858.3249303544121</v>
      </c>
      <c r="BY62" s="23">
        <f t="shared" si="89"/>
        <v>1948.0847204569782</v>
      </c>
      <c r="BZ62" s="23">
        <f t="shared" si="89"/>
        <v>2037.8445105595433</v>
      </c>
      <c r="CA62" s="23">
        <f t="shared" si="89"/>
        <v>2127.6043006621089</v>
      </c>
      <c r="CB62" s="23">
        <f t="shared" si="89"/>
        <v>2217.3640907646745</v>
      </c>
      <c r="CC62" s="23">
        <f t="shared" si="89"/>
        <v>2307.1238808672397</v>
      </c>
      <c r="CD62" s="23">
        <f t="shared" si="89"/>
        <v>2396.8836709698057</v>
      </c>
      <c r="CE62" s="23">
        <f t="shared" si="89"/>
        <v>2486.6434610723709</v>
      </c>
      <c r="CF62" s="23">
        <f t="shared" si="89"/>
        <v>2576.4032511749365</v>
      </c>
      <c r="CG62" s="23">
        <f t="shared" si="89"/>
        <v>2666.1630412775021</v>
      </c>
      <c r="CH62" s="23">
        <f t="shared" si="89"/>
        <v>2755.9228313800672</v>
      </c>
      <c r="CI62" s="23">
        <f t="shared" si="89"/>
        <v>1592.9911305656594</v>
      </c>
      <c r="CJ62" s="23">
        <f t="shared" si="89"/>
        <v>1688.3609075496352</v>
      </c>
      <c r="CK62" s="23">
        <f t="shared" si="89"/>
        <v>1783.7306845336111</v>
      </c>
      <c r="CL62" s="23">
        <f t="shared" si="89"/>
        <v>1879.1004615175871</v>
      </c>
      <c r="CM62" s="23">
        <f t="shared" ref="CM62:DL62" si="90">SUM(CM57:CM61)</f>
        <v>1974.4702385015626</v>
      </c>
      <c r="CN62" s="23">
        <f t="shared" si="90"/>
        <v>2069.840015485539</v>
      </c>
      <c r="CO62" s="23">
        <f t="shared" si="90"/>
        <v>2165.2097924695145</v>
      </c>
      <c r="CP62" s="23">
        <f t="shared" si="90"/>
        <v>2260.5795694534904</v>
      </c>
      <c r="CQ62" s="23">
        <f t="shared" si="90"/>
        <v>2355.9493464374664</v>
      </c>
      <c r="CR62" s="23">
        <f t="shared" si="90"/>
        <v>2451.3191234214419</v>
      </c>
      <c r="CS62" s="23">
        <f t="shared" si="90"/>
        <v>2546.6889004054183</v>
      </c>
      <c r="CT62" s="23">
        <f t="shared" si="90"/>
        <v>2642.0586773893938</v>
      </c>
      <c r="CU62" s="23">
        <f t="shared" si="90"/>
        <v>2737.4284543733697</v>
      </c>
      <c r="CV62" s="23">
        <f t="shared" si="90"/>
        <v>2832.7982313573457</v>
      </c>
      <c r="CW62" s="23">
        <f t="shared" si="90"/>
        <v>2928.1680083413212</v>
      </c>
      <c r="CX62" s="23">
        <f t="shared" si="90"/>
        <v>1686.6964911871689</v>
      </c>
      <c r="CY62" s="23">
        <f t="shared" si="90"/>
        <v>1787.676255052555</v>
      </c>
      <c r="CZ62" s="23">
        <f t="shared" si="90"/>
        <v>1888.6560189179413</v>
      </c>
      <c r="DA62" s="23">
        <f t="shared" si="90"/>
        <v>1989.6357827833276</v>
      </c>
      <c r="DB62" s="23">
        <f t="shared" si="90"/>
        <v>2090.6155466487135</v>
      </c>
      <c r="DC62" s="23">
        <f t="shared" si="90"/>
        <v>2191.5953105141002</v>
      </c>
      <c r="DD62" s="23">
        <f t="shared" si="90"/>
        <v>2292.5750743794861</v>
      </c>
      <c r="DE62" s="23">
        <f t="shared" si="90"/>
        <v>2393.5548382448724</v>
      </c>
      <c r="DF62" s="23">
        <f t="shared" si="90"/>
        <v>2494.5346021102587</v>
      </c>
      <c r="DG62" s="23">
        <f t="shared" si="90"/>
        <v>2595.5143659756445</v>
      </c>
      <c r="DH62" s="23">
        <f t="shared" si="90"/>
        <v>2696.4941298410313</v>
      </c>
      <c r="DI62" s="23">
        <f t="shared" si="90"/>
        <v>2797.4738937064171</v>
      </c>
      <c r="DJ62" s="23">
        <f t="shared" si="90"/>
        <v>2898.4536575718034</v>
      </c>
      <c r="DK62" s="23">
        <f t="shared" si="90"/>
        <v>2999.4334214371897</v>
      </c>
      <c r="DL62" s="23">
        <f t="shared" si="90"/>
        <v>3100.4131853025756</v>
      </c>
    </row>
    <row r="63" spans="1:116" ht="12.75" customHeight="1" x14ac:dyDescent="0.2">
      <c r="A63" s="4"/>
      <c r="B63" s="43" t="s">
        <v>4</v>
      </c>
      <c r="C63" s="154" t="s">
        <v>134</v>
      </c>
      <c r="D63" s="155">
        <v>0</v>
      </c>
      <c r="E63" s="70">
        <v>2</v>
      </c>
      <c r="F63" s="71">
        <f>E63-D63</f>
        <v>2</v>
      </c>
      <c r="G63" s="147">
        <v>16</v>
      </c>
      <c r="H63" s="147">
        <v>18</v>
      </c>
      <c r="I63" s="39">
        <f>S62/2</f>
        <v>16</v>
      </c>
      <c r="J63" s="147"/>
      <c r="K63" s="147">
        <v>1E-4</v>
      </c>
      <c r="L63" s="22">
        <f>IF(OR(J63="",J63=0),0,(1+SIN(V62))/(1-SIN(V62))*EXP(PI()*TAN(V62)))</f>
        <v>0</v>
      </c>
      <c r="M63" s="21">
        <f>IF(OR(K63=0,K63=""),0,9)</f>
        <v>9</v>
      </c>
      <c r="N63" s="58">
        <f>IF(J63&lt;&gt;"",MIN(3*I63*L63/1000,20),M63*K63/1000)</f>
        <v>9.0000000000000007E-7</v>
      </c>
      <c r="O63" s="28">
        <f>IF(J63&lt;&gt;"",MIN(120,I63*E$34*E$36*TAN(V62)),MIN(100,100*K63/(100+K63)*IF(A35="De acero",0.8,1)))</f>
        <v>9.9999900000100002E-5</v>
      </c>
      <c r="P63" s="9"/>
      <c r="Q63" s="5"/>
      <c r="R63" s="5"/>
      <c r="S63">
        <f>S62+(MAX(D64,MIN(E64,A$46))-D64)*G64+(E64-MAX(D64,MIN(E64,A$46)))*(H64-10)</f>
        <v>156</v>
      </c>
      <c r="T63">
        <f>T62+F64*G64</f>
        <v>184</v>
      </c>
      <c r="U63" s="5"/>
      <c r="V63" s="88">
        <f>RADIANS(J64)</f>
        <v>0.4014257279586958</v>
      </c>
      <c r="Z63" s="67" t="s">
        <v>127</v>
      </c>
      <c r="AA63" s="68">
        <f t="shared" ref="AA63:BF63" si="91">AA62/1000</f>
        <v>1.2181696880796222</v>
      </c>
      <c r="AB63" s="68">
        <f t="shared" si="91"/>
        <v>1.2910995175379565</v>
      </c>
      <c r="AC63" s="68">
        <f t="shared" si="91"/>
        <v>1.3640293469962907</v>
      </c>
      <c r="AD63" s="68">
        <f t="shared" si="91"/>
        <v>1.4369591764546252</v>
      </c>
      <c r="AE63" s="68">
        <f t="shared" si="91"/>
        <v>1.5098890059129599</v>
      </c>
      <c r="AF63" s="68">
        <f t="shared" si="91"/>
        <v>1.5828188353712944</v>
      </c>
      <c r="AG63" s="68">
        <f t="shared" si="91"/>
        <v>1.6557486648296289</v>
      </c>
      <c r="AH63" s="68">
        <f t="shared" si="91"/>
        <v>1.7286784942879634</v>
      </c>
      <c r="AI63" s="68">
        <f t="shared" si="91"/>
        <v>1.8016083237462979</v>
      </c>
      <c r="AJ63" s="68">
        <f t="shared" si="91"/>
        <v>1.8745381532046321</v>
      </c>
      <c r="AK63" s="68">
        <f t="shared" si="91"/>
        <v>1.9474679826629671</v>
      </c>
      <c r="AL63" s="68">
        <f t="shared" si="91"/>
        <v>2.0203978121213013</v>
      </c>
      <c r="AM63" s="68">
        <f t="shared" si="91"/>
        <v>2.093327641579636</v>
      </c>
      <c r="AN63" s="68">
        <f t="shared" si="91"/>
        <v>2.1662574710379703</v>
      </c>
      <c r="AO63" s="68">
        <f t="shared" si="91"/>
        <v>2.2391873004963045</v>
      </c>
      <c r="AP63" s="68">
        <f t="shared" si="91"/>
        <v>1.3118750487011313</v>
      </c>
      <c r="AQ63" s="68">
        <f t="shared" si="91"/>
        <v>1.3904148650408761</v>
      </c>
      <c r="AR63" s="68">
        <f t="shared" si="91"/>
        <v>1.4689546813806207</v>
      </c>
      <c r="AS63" s="68">
        <f t="shared" si="91"/>
        <v>1.5474944977203657</v>
      </c>
      <c r="AT63" s="68">
        <f t="shared" si="91"/>
        <v>1.6260343140601103</v>
      </c>
      <c r="AU63" s="68">
        <f t="shared" si="91"/>
        <v>1.7045741303998552</v>
      </c>
      <c r="AV63" s="68">
        <f t="shared" si="91"/>
        <v>1.7831139467396002</v>
      </c>
      <c r="AW63" s="68">
        <f t="shared" si="91"/>
        <v>1.861653763079345</v>
      </c>
      <c r="AX63" s="68">
        <f t="shared" si="91"/>
        <v>1.9401935794190899</v>
      </c>
      <c r="AY63" s="68">
        <f t="shared" si="91"/>
        <v>2.0187333957588343</v>
      </c>
      <c r="AZ63" s="68">
        <f t="shared" si="91"/>
        <v>2.0972732120985795</v>
      </c>
      <c r="BA63" s="68">
        <f t="shared" si="91"/>
        <v>2.1758130284383244</v>
      </c>
      <c r="BB63" s="68">
        <f t="shared" si="91"/>
        <v>2.2543528447780692</v>
      </c>
      <c r="BC63" s="68">
        <f t="shared" si="91"/>
        <v>2.332892661117814</v>
      </c>
      <c r="BD63" s="68">
        <f t="shared" si="91"/>
        <v>2.4114324774575584</v>
      </c>
      <c r="BE63" s="68">
        <f t="shared" si="91"/>
        <v>1.4055804093226407</v>
      </c>
      <c r="BF63" s="68">
        <f t="shared" si="91"/>
        <v>1.4897302125437959</v>
      </c>
      <c r="BG63" s="68">
        <f t="shared" ref="BG63:CL63" si="92">BG62/1000</f>
        <v>1.5738800157649508</v>
      </c>
      <c r="BH63" s="68">
        <f t="shared" si="92"/>
        <v>1.6580298189861065</v>
      </c>
      <c r="BI63" s="68">
        <f t="shared" si="92"/>
        <v>1.7421796222072612</v>
      </c>
      <c r="BJ63" s="68">
        <f t="shared" si="92"/>
        <v>1.826329425428417</v>
      </c>
      <c r="BK63" s="68">
        <f t="shared" si="92"/>
        <v>1.9104792286495718</v>
      </c>
      <c r="BL63" s="68">
        <f t="shared" si="92"/>
        <v>1.9946290318707269</v>
      </c>
      <c r="BM63" s="68">
        <f t="shared" si="92"/>
        <v>2.0787788350918821</v>
      </c>
      <c r="BN63" s="68">
        <f t="shared" si="92"/>
        <v>2.1629286383130371</v>
      </c>
      <c r="BO63" s="68">
        <f t="shared" si="92"/>
        <v>2.2470784415341929</v>
      </c>
      <c r="BP63" s="68">
        <f t="shared" si="92"/>
        <v>2.3312282447553474</v>
      </c>
      <c r="BQ63" s="68">
        <f t="shared" si="92"/>
        <v>2.4153780479765028</v>
      </c>
      <c r="BR63" s="68">
        <f t="shared" si="92"/>
        <v>2.4995278511976582</v>
      </c>
      <c r="BS63" s="68">
        <f t="shared" si="92"/>
        <v>2.5836776544188127</v>
      </c>
      <c r="BT63" s="68">
        <f t="shared" si="92"/>
        <v>1.4992857699441502</v>
      </c>
      <c r="BU63" s="68">
        <f t="shared" si="92"/>
        <v>1.5890455600467157</v>
      </c>
      <c r="BV63" s="68">
        <f t="shared" si="92"/>
        <v>1.678805350149281</v>
      </c>
      <c r="BW63" s="68">
        <f t="shared" si="92"/>
        <v>1.7685651402518465</v>
      </c>
      <c r="BX63" s="68">
        <f t="shared" si="92"/>
        <v>1.858324930354412</v>
      </c>
      <c r="BY63" s="68">
        <f t="shared" si="92"/>
        <v>1.9480847204569782</v>
      </c>
      <c r="BZ63" s="68">
        <f t="shared" si="92"/>
        <v>2.0378445105595433</v>
      </c>
      <c r="CA63" s="68">
        <f t="shared" si="92"/>
        <v>2.1276043006621088</v>
      </c>
      <c r="CB63" s="68">
        <f t="shared" si="92"/>
        <v>2.2173640907646743</v>
      </c>
      <c r="CC63" s="68">
        <f t="shared" si="92"/>
        <v>2.3071238808672399</v>
      </c>
      <c r="CD63" s="68">
        <f t="shared" si="92"/>
        <v>2.3968836709698058</v>
      </c>
      <c r="CE63" s="68">
        <f t="shared" si="92"/>
        <v>2.4866434610723709</v>
      </c>
      <c r="CF63" s="68">
        <f t="shared" si="92"/>
        <v>2.5764032511749364</v>
      </c>
      <c r="CG63" s="68">
        <f t="shared" si="92"/>
        <v>2.6661630412775019</v>
      </c>
      <c r="CH63" s="68">
        <f t="shared" si="92"/>
        <v>2.7559228313800674</v>
      </c>
      <c r="CI63" s="68">
        <f t="shared" si="92"/>
        <v>1.5929911305656594</v>
      </c>
      <c r="CJ63" s="68">
        <f t="shared" si="92"/>
        <v>1.6883609075496351</v>
      </c>
      <c r="CK63" s="68">
        <f t="shared" si="92"/>
        <v>1.7837306845336112</v>
      </c>
      <c r="CL63" s="68">
        <f t="shared" si="92"/>
        <v>1.879100461517587</v>
      </c>
      <c r="CM63" s="68">
        <f t="shared" ref="CM63:DL63" si="93">CM62/1000</f>
        <v>1.9744702385015627</v>
      </c>
      <c r="CN63" s="68">
        <f t="shared" si="93"/>
        <v>2.0698400154855388</v>
      </c>
      <c r="CO63" s="68">
        <f t="shared" si="93"/>
        <v>2.1652097924695144</v>
      </c>
      <c r="CP63" s="68">
        <f t="shared" si="93"/>
        <v>2.2605795694534905</v>
      </c>
      <c r="CQ63" s="68">
        <f t="shared" si="93"/>
        <v>2.3559493464374666</v>
      </c>
      <c r="CR63" s="68">
        <f t="shared" si="93"/>
        <v>2.4513191234214418</v>
      </c>
      <c r="CS63" s="68">
        <f t="shared" si="93"/>
        <v>2.5466889004054183</v>
      </c>
      <c r="CT63" s="68">
        <f t="shared" si="93"/>
        <v>2.6420586773893939</v>
      </c>
      <c r="CU63" s="68">
        <f t="shared" si="93"/>
        <v>2.7374284543733696</v>
      </c>
      <c r="CV63" s="68">
        <f t="shared" si="93"/>
        <v>2.8327982313573457</v>
      </c>
      <c r="CW63" s="68">
        <f t="shared" si="93"/>
        <v>2.9281680083413213</v>
      </c>
      <c r="CX63" s="68">
        <f t="shared" si="93"/>
        <v>1.6866964911871689</v>
      </c>
      <c r="CY63" s="68">
        <f t="shared" si="93"/>
        <v>1.7876762550525549</v>
      </c>
      <c r="CZ63" s="68">
        <f t="shared" si="93"/>
        <v>1.8886560189179413</v>
      </c>
      <c r="DA63" s="68">
        <f t="shared" si="93"/>
        <v>1.9896357827833275</v>
      </c>
      <c r="DB63" s="68">
        <f t="shared" si="93"/>
        <v>2.0906155466487135</v>
      </c>
      <c r="DC63" s="68">
        <f t="shared" si="93"/>
        <v>2.1915953105141002</v>
      </c>
      <c r="DD63" s="68">
        <f t="shared" si="93"/>
        <v>2.2925750743794859</v>
      </c>
      <c r="DE63" s="68">
        <f t="shared" si="93"/>
        <v>2.3935548382448726</v>
      </c>
      <c r="DF63" s="68">
        <f t="shared" si="93"/>
        <v>2.4945346021102588</v>
      </c>
      <c r="DG63" s="68">
        <f t="shared" si="93"/>
        <v>2.5955143659756446</v>
      </c>
      <c r="DH63" s="68">
        <f t="shared" si="93"/>
        <v>2.6964941298410312</v>
      </c>
      <c r="DI63" s="68">
        <f t="shared" si="93"/>
        <v>2.797473893706417</v>
      </c>
      <c r="DJ63" s="68">
        <f t="shared" si="93"/>
        <v>2.8984536575718036</v>
      </c>
      <c r="DK63" s="68">
        <f t="shared" si="93"/>
        <v>2.9994334214371898</v>
      </c>
      <c r="DL63" s="68">
        <f t="shared" si="93"/>
        <v>3.1004131853025756</v>
      </c>
    </row>
    <row r="64" spans="1:116" ht="12.75" customHeight="1" x14ac:dyDescent="0.2">
      <c r="A64" s="4"/>
      <c r="B64" s="44" t="s">
        <v>5</v>
      </c>
      <c r="C64" s="154" t="s">
        <v>135</v>
      </c>
      <c r="D64" s="155">
        <v>2</v>
      </c>
      <c r="E64" s="70">
        <v>10</v>
      </c>
      <c r="F64" s="71">
        <f>E64-D64</f>
        <v>8</v>
      </c>
      <c r="G64" s="147">
        <v>19</v>
      </c>
      <c r="H64" s="147">
        <v>21</v>
      </c>
      <c r="I64" s="39">
        <f>AVERAGE(S63,S62)</f>
        <v>94</v>
      </c>
      <c r="J64" s="147">
        <v>23</v>
      </c>
      <c r="K64" s="147"/>
      <c r="L64" s="22">
        <f>IF(OR(J64="",J64=0),0,(1+SIN(V63))/(1-SIN(V63))*EXP(PI()*TAN(V63)))</f>
        <v>8.6611904352691393</v>
      </c>
      <c r="M64" s="21">
        <f>IF(OR(K64=0,K64=""),0,9)</f>
        <v>0</v>
      </c>
      <c r="N64" s="58">
        <f>IF(J64&lt;&gt;"",MIN(3*I64*L64/1000,20),M64*K64/1000)</f>
        <v>2.4424557027458973</v>
      </c>
      <c r="O64" s="28">
        <f>IF(J64&lt;&gt;"",MIN(120,I64*E$34*E$36*TAN(V63)),MIN(100,100*K64/(100+K64)*IF(A36="De acero",0.8,1)))</f>
        <v>29.925474542777135</v>
      </c>
      <c r="P64" s="9"/>
      <c r="Q64" s="5"/>
      <c r="R64" s="5"/>
      <c r="S64">
        <f>S63+(MAX(D65,MIN(E65,A$46))-D65)*G65+(E65-MAX(D65,MIN(E65,A$46)))*(H65-10)</f>
        <v>376</v>
      </c>
      <c r="T64">
        <f>T63+F65*G65</f>
        <v>564</v>
      </c>
      <c r="U64" s="5"/>
      <c r="V64" s="88">
        <f>RADIANS(J65)</f>
        <v>0</v>
      </c>
      <c r="Z64" s="67" t="s">
        <v>129</v>
      </c>
      <c r="AA64" s="23">
        <f>AA63/$B$54*1000</f>
        <v>406.05656269320741</v>
      </c>
      <c r="AB64" s="23">
        <f t="shared" ref="AB64:CM64" si="94">AB63/$B$54*1000</f>
        <v>430.3665058459855</v>
      </c>
      <c r="AC64" s="23">
        <f t="shared" si="94"/>
        <v>454.67644899876359</v>
      </c>
      <c r="AD64" s="23">
        <f t="shared" si="94"/>
        <v>478.98639215154174</v>
      </c>
      <c r="AE64" s="23">
        <f t="shared" si="94"/>
        <v>503.29633530431994</v>
      </c>
      <c r="AF64" s="23">
        <f t="shared" si="94"/>
        <v>527.60627845709814</v>
      </c>
      <c r="AG64" s="23">
        <f t="shared" si="94"/>
        <v>551.91622160987629</v>
      </c>
      <c r="AH64" s="23">
        <f t="shared" si="94"/>
        <v>576.22616476265443</v>
      </c>
      <c r="AI64" s="23">
        <f t="shared" si="94"/>
        <v>600.53610791543269</v>
      </c>
      <c r="AJ64" s="23">
        <f t="shared" si="94"/>
        <v>624.84605106821073</v>
      </c>
      <c r="AK64" s="23">
        <f t="shared" si="94"/>
        <v>649.15599422098899</v>
      </c>
      <c r="AL64" s="23">
        <f t="shared" si="94"/>
        <v>673.46593737376713</v>
      </c>
      <c r="AM64" s="23">
        <f t="shared" si="94"/>
        <v>697.77588052654539</v>
      </c>
      <c r="AN64" s="23">
        <f t="shared" si="94"/>
        <v>722.08582367932343</v>
      </c>
      <c r="AO64" s="23">
        <f t="shared" si="94"/>
        <v>746.39576683210157</v>
      </c>
      <c r="AP64" s="23">
        <f t="shared" si="94"/>
        <v>437.29168290037705</v>
      </c>
      <c r="AQ64" s="23">
        <f t="shared" si="94"/>
        <v>463.47162168029206</v>
      </c>
      <c r="AR64" s="23">
        <f t="shared" si="94"/>
        <v>489.65156046020689</v>
      </c>
      <c r="AS64" s="23">
        <f t="shared" si="94"/>
        <v>515.83149924012196</v>
      </c>
      <c r="AT64" s="23">
        <f t="shared" si="94"/>
        <v>542.01143802003685</v>
      </c>
      <c r="AU64" s="23">
        <f t="shared" si="94"/>
        <v>568.19137679995174</v>
      </c>
      <c r="AV64" s="23">
        <f t="shared" si="94"/>
        <v>594.37131557986675</v>
      </c>
      <c r="AW64" s="23">
        <f t="shared" si="94"/>
        <v>620.55125435978164</v>
      </c>
      <c r="AX64" s="23">
        <f t="shared" si="94"/>
        <v>646.73119313969664</v>
      </c>
      <c r="AY64" s="23">
        <f t="shared" si="94"/>
        <v>672.91113191961142</v>
      </c>
      <c r="AZ64" s="23">
        <f t="shared" si="94"/>
        <v>699.09107069952643</v>
      </c>
      <c r="BA64" s="23">
        <f t="shared" si="94"/>
        <v>725.27100947944143</v>
      </c>
      <c r="BB64" s="23">
        <f t="shared" si="94"/>
        <v>751.45094825935644</v>
      </c>
      <c r="BC64" s="23">
        <f t="shared" si="94"/>
        <v>777.63088703927133</v>
      </c>
      <c r="BD64" s="23">
        <f t="shared" si="94"/>
        <v>803.81082581918622</v>
      </c>
      <c r="BE64" s="23">
        <f t="shared" si="94"/>
        <v>468.52680310754693</v>
      </c>
      <c r="BF64" s="23">
        <f t="shared" si="94"/>
        <v>496.57673751459862</v>
      </c>
      <c r="BG64" s="23">
        <f t="shared" si="94"/>
        <v>524.6266719216502</v>
      </c>
      <c r="BH64" s="23">
        <f t="shared" si="94"/>
        <v>552.67660632870218</v>
      </c>
      <c r="BI64" s="23">
        <f t="shared" si="94"/>
        <v>580.7265407357537</v>
      </c>
      <c r="BJ64" s="23">
        <f t="shared" si="94"/>
        <v>608.77647514280568</v>
      </c>
      <c r="BK64" s="23">
        <f t="shared" si="94"/>
        <v>636.8264095498572</v>
      </c>
      <c r="BL64" s="23">
        <f t="shared" si="94"/>
        <v>664.87634395690895</v>
      </c>
      <c r="BM64" s="23">
        <f t="shared" si="94"/>
        <v>692.92627836396071</v>
      </c>
      <c r="BN64" s="23">
        <f t="shared" si="94"/>
        <v>720.97621277101234</v>
      </c>
      <c r="BO64" s="23">
        <f t="shared" si="94"/>
        <v>749.02614717806421</v>
      </c>
      <c r="BP64" s="23">
        <f t="shared" si="94"/>
        <v>777.07608158511573</v>
      </c>
      <c r="BQ64" s="23">
        <f t="shared" si="94"/>
        <v>805.12601599216759</v>
      </c>
      <c r="BR64" s="23">
        <f t="shared" si="94"/>
        <v>833.17595039921946</v>
      </c>
      <c r="BS64" s="23">
        <f t="shared" si="94"/>
        <v>861.22588480627098</v>
      </c>
      <c r="BT64" s="23">
        <f t="shared" si="94"/>
        <v>499.76192331471674</v>
      </c>
      <c r="BU64" s="23">
        <f t="shared" si="94"/>
        <v>529.68185334890529</v>
      </c>
      <c r="BV64" s="23">
        <f t="shared" si="94"/>
        <v>559.60178338309368</v>
      </c>
      <c r="BW64" s="23">
        <f t="shared" si="94"/>
        <v>589.52171341728217</v>
      </c>
      <c r="BX64" s="23">
        <f t="shared" si="94"/>
        <v>619.44164345147067</v>
      </c>
      <c r="BY64" s="23">
        <f t="shared" si="94"/>
        <v>649.36157348565939</v>
      </c>
      <c r="BZ64" s="23">
        <f t="shared" si="94"/>
        <v>679.28150351984777</v>
      </c>
      <c r="CA64" s="23">
        <f t="shared" si="94"/>
        <v>709.20143355403627</v>
      </c>
      <c r="CB64" s="23">
        <f t="shared" si="94"/>
        <v>739.12136358822477</v>
      </c>
      <c r="CC64" s="23">
        <f t="shared" si="94"/>
        <v>769.04129362241326</v>
      </c>
      <c r="CD64" s="23">
        <f t="shared" si="94"/>
        <v>798.96122365660199</v>
      </c>
      <c r="CE64" s="23">
        <f t="shared" si="94"/>
        <v>828.88115369079026</v>
      </c>
      <c r="CF64" s="23">
        <f t="shared" si="94"/>
        <v>858.80108372497875</v>
      </c>
      <c r="CG64" s="23">
        <f t="shared" si="94"/>
        <v>888.72101375916736</v>
      </c>
      <c r="CH64" s="23">
        <f t="shared" si="94"/>
        <v>918.64094379335586</v>
      </c>
      <c r="CI64" s="23">
        <f t="shared" si="94"/>
        <v>530.99704352188644</v>
      </c>
      <c r="CJ64" s="23">
        <f t="shared" si="94"/>
        <v>562.78696918321168</v>
      </c>
      <c r="CK64" s="23">
        <f t="shared" si="94"/>
        <v>594.57689484453704</v>
      </c>
      <c r="CL64" s="23">
        <f t="shared" si="94"/>
        <v>626.36682050586239</v>
      </c>
      <c r="CM64" s="23">
        <f t="shared" si="94"/>
        <v>658.15674616718752</v>
      </c>
      <c r="CN64" s="23">
        <f t="shared" ref="CN64:DL64" si="95">CN63/$B$54*1000</f>
        <v>689.94667182851288</v>
      </c>
      <c r="CO64" s="23">
        <f t="shared" si="95"/>
        <v>721.73659748983812</v>
      </c>
      <c r="CP64" s="23">
        <f t="shared" si="95"/>
        <v>753.52652315116347</v>
      </c>
      <c r="CQ64" s="23">
        <f t="shared" si="95"/>
        <v>785.31644881248883</v>
      </c>
      <c r="CR64" s="23">
        <f t="shared" si="95"/>
        <v>817.10637447381396</v>
      </c>
      <c r="CS64" s="23">
        <f t="shared" si="95"/>
        <v>848.89630013513943</v>
      </c>
      <c r="CT64" s="23">
        <f t="shared" si="95"/>
        <v>880.68622579646456</v>
      </c>
      <c r="CU64" s="23">
        <f t="shared" si="95"/>
        <v>912.4761514577898</v>
      </c>
      <c r="CV64" s="23">
        <f t="shared" si="95"/>
        <v>944.26607711911527</v>
      </c>
      <c r="CW64" s="23">
        <f t="shared" si="95"/>
        <v>976.05600278044051</v>
      </c>
      <c r="CX64" s="23">
        <f t="shared" si="95"/>
        <v>562.23216372905631</v>
      </c>
      <c r="CY64" s="23">
        <f t="shared" si="95"/>
        <v>595.8920850175183</v>
      </c>
      <c r="CZ64" s="23">
        <f t="shared" si="95"/>
        <v>629.5520063059804</v>
      </c>
      <c r="DA64" s="23">
        <f t="shared" si="95"/>
        <v>663.2119275944425</v>
      </c>
      <c r="DB64" s="23">
        <f t="shared" si="95"/>
        <v>696.87184888290449</v>
      </c>
      <c r="DC64" s="23">
        <f t="shared" si="95"/>
        <v>730.5317701713667</v>
      </c>
      <c r="DD64" s="23">
        <f t="shared" si="95"/>
        <v>764.19169145982869</v>
      </c>
      <c r="DE64" s="23">
        <f t="shared" si="95"/>
        <v>797.8516127482909</v>
      </c>
      <c r="DF64" s="23">
        <f t="shared" si="95"/>
        <v>831.51153403675289</v>
      </c>
      <c r="DG64" s="23">
        <f t="shared" si="95"/>
        <v>865.17145532521488</v>
      </c>
      <c r="DH64" s="23">
        <f t="shared" si="95"/>
        <v>898.83137661367709</v>
      </c>
      <c r="DI64" s="23">
        <f t="shared" si="95"/>
        <v>932.49129790213908</v>
      </c>
      <c r="DJ64" s="23">
        <f t="shared" si="95"/>
        <v>966.15121919060118</v>
      </c>
      <c r="DK64" s="23">
        <f t="shared" si="95"/>
        <v>999.81114047906328</v>
      </c>
      <c r="DL64" s="23">
        <f t="shared" si="95"/>
        <v>1033.471061767525</v>
      </c>
    </row>
    <row r="65" spans="1:116" ht="12.75" customHeight="1" x14ac:dyDescent="0.2">
      <c r="A65" s="4"/>
      <c r="B65" s="44" t="s">
        <v>6</v>
      </c>
      <c r="C65" s="154" t="s">
        <v>136</v>
      </c>
      <c r="D65" s="155">
        <v>10</v>
      </c>
      <c r="E65" s="70">
        <f>D66</f>
        <v>30</v>
      </c>
      <c r="F65" s="71">
        <f>E65-D65</f>
        <v>20</v>
      </c>
      <c r="G65" s="147">
        <v>19</v>
      </c>
      <c r="H65" s="147">
        <v>21</v>
      </c>
      <c r="I65" s="39">
        <f>AVERAGE(S64,S63)</f>
        <v>266</v>
      </c>
      <c r="J65" s="147"/>
      <c r="K65" s="147">
        <v>250</v>
      </c>
      <c r="L65" s="22">
        <f>IF(OR(J65="",J65=0),0,(1+SIN(V64))/(1-SIN(V64))*EXP(PI()*TAN(V64)))</f>
        <v>0</v>
      </c>
      <c r="M65" s="21">
        <f>IF(OR(K65=0,K65=""),0,9)</f>
        <v>9</v>
      </c>
      <c r="N65" s="58">
        <f>IF(J65&lt;&gt;"",MIN(3*I65*L65/1000,20),M65*K65/1000)</f>
        <v>2.25</v>
      </c>
      <c r="O65" s="28">
        <f>IF(J65&lt;&gt;"",MIN(120,I65*E$34*E$36*TAN(V64)),MIN(100,100*K65/(100+K65)*IF(A37="De acero",0.8,1)))</f>
        <v>71.428571428571431</v>
      </c>
      <c r="P65" s="9"/>
      <c r="Q65" s="5"/>
      <c r="R65" s="5"/>
      <c r="S65">
        <f>S64+(MAX(D66,MIN(E66,A$46))-D66)*G66+(E66-MAX(D66,MIN(E66,A$46)))*(H66-10)</f>
        <v>376</v>
      </c>
      <c r="T65">
        <f>T64+F66*G66</f>
        <v>564</v>
      </c>
      <c r="U65" s="5"/>
      <c r="V65" s="88">
        <f>RADIANS(J66)</f>
        <v>0</v>
      </c>
    </row>
    <row r="66" spans="1:116" ht="12.75" customHeight="1" x14ac:dyDescent="0.2">
      <c r="A66" s="4"/>
      <c r="B66" s="44" t="s">
        <v>7</v>
      </c>
      <c r="C66" s="154"/>
      <c r="D66" s="155">
        <v>30</v>
      </c>
      <c r="E66" s="70">
        <f>D67</f>
        <v>30</v>
      </c>
      <c r="F66" s="71">
        <f>E66-D66</f>
        <v>0</v>
      </c>
      <c r="G66" s="147"/>
      <c r="H66" s="147"/>
      <c r="I66" s="62">
        <f>AVERAGE(S65,S64)</f>
        <v>376</v>
      </c>
      <c r="J66" s="147"/>
      <c r="K66" s="147"/>
      <c r="L66" s="22">
        <f>IF(OR(J66="",J66=0),0,(1+SIN(V65))/(1-SIN(V65))*EXP(PI()*TAN(V65)))</f>
        <v>0</v>
      </c>
      <c r="M66" s="21">
        <f>IF(OR(K66=0,K66=""),0,9)</f>
        <v>0</v>
      </c>
      <c r="N66" s="58">
        <f>IF(J66&lt;&gt;"",MIN(3*I66*L66/1000,20),M66*K66/1000)</f>
        <v>0</v>
      </c>
      <c r="O66" s="28">
        <f>IF(J66&lt;&gt;"",MIN(120,I66*E$34*E$36*TAN(V65)),MIN(100,100*K66/(100+K66)*IF(A38="De acero",0.8,1)))</f>
        <v>0</v>
      </c>
      <c r="P66" s="9"/>
      <c r="Q66" s="5"/>
      <c r="R66" s="5"/>
      <c r="S66">
        <f>S65+(MAX(D67,MIN(E67,A$46))-D67)*G67+(E67-MAX(D67,MIN(E67,A$46)))*(H67-10)</f>
        <v>376</v>
      </c>
      <c r="T66">
        <f>T65+F67*G67</f>
        <v>564</v>
      </c>
      <c r="U66" s="5"/>
      <c r="V66" s="88">
        <f>RADIANS(J67)</f>
        <v>0</v>
      </c>
      <c r="AA66" s="49">
        <f t="shared" ref="AA66:AO66" si="96">6*(1+MAX(0,$C$49-AA35)*1000/$AA$33)^2*$C$50</f>
        <v>171918.46153846153</v>
      </c>
      <c r="AB66" s="49">
        <f t="shared" si="96"/>
        <v>154564.61538461538</v>
      </c>
      <c r="AC66" s="49">
        <f t="shared" si="96"/>
        <v>138133.84615384616</v>
      </c>
      <c r="AD66" s="49">
        <f t="shared" si="96"/>
        <v>122626.15384615386</v>
      </c>
      <c r="AE66" s="49">
        <f t="shared" si="96"/>
        <v>108041.53846153847</v>
      </c>
      <c r="AF66" s="49">
        <f t="shared" si="96"/>
        <v>94380</v>
      </c>
      <c r="AG66" s="49">
        <f t="shared" si="96"/>
        <v>81641.538461538454</v>
      </c>
      <c r="AH66" s="49">
        <f t="shared" si="96"/>
        <v>69826.153846153844</v>
      </c>
      <c r="AI66" s="49">
        <f t="shared" si="96"/>
        <v>58933.846153846171</v>
      </c>
      <c r="AJ66" s="49">
        <f t="shared" si="96"/>
        <v>48964.615384615383</v>
      </c>
      <c r="AK66" s="49">
        <f t="shared" si="96"/>
        <v>39918.461538461546</v>
      </c>
      <c r="AL66" s="49">
        <f t="shared" si="96"/>
        <v>31795.384615384617</v>
      </c>
      <c r="AM66" s="49">
        <f t="shared" si="96"/>
        <v>24595.38461538461</v>
      </c>
      <c r="AN66" s="49">
        <f t="shared" si="96"/>
        <v>18318.461538461543</v>
      </c>
      <c r="AO66" s="49">
        <f t="shared" si="96"/>
        <v>12964.615384615383</v>
      </c>
      <c r="AP66" s="49">
        <f t="shared" ref="AP66:BD66" si="97">6*(1+MAX(0,$C$49-AP35)*1000/$AP$33)^2*$C$50</f>
        <v>149775.91836734695</v>
      </c>
      <c r="AQ66" s="49">
        <f t="shared" si="97"/>
        <v>134733.06122448979</v>
      </c>
      <c r="AR66" s="49">
        <f t="shared" si="97"/>
        <v>120486.1224489796</v>
      </c>
      <c r="AS66" s="49">
        <f t="shared" si="97"/>
        <v>107035.10204081632</v>
      </c>
      <c r="AT66" s="49">
        <f t="shared" si="97"/>
        <v>94380</v>
      </c>
      <c r="AU66" s="49">
        <f t="shared" si="97"/>
        <v>82520.816326530621</v>
      </c>
      <c r="AV66" s="49">
        <f t="shared" si="97"/>
        <v>71457.551020408151</v>
      </c>
      <c r="AW66" s="49">
        <f t="shared" si="97"/>
        <v>61190.204081632663</v>
      </c>
      <c r="AX66" s="49">
        <f t="shared" si="97"/>
        <v>51718.775510204068</v>
      </c>
      <c r="AY66" s="49">
        <f t="shared" si="97"/>
        <v>43043.265306122448</v>
      </c>
      <c r="AZ66" s="49">
        <f t="shared" si="97"/>
        <v>35163.673469387759</v>
      </c>
      <c r="BA66" s="49">
        <f t="shared" si="97"/>
        <v>28080</v>
      </c>
      <c r="BB66" s="49">
        <f t="shared" si="97"/>
        <v>21792.244897959183</v>
      </c>
      <c r="BC66" s="49">
        <f t="shared" si="97"/>
        <v>16300.408163265305</v>
      </c>
      <c r="BD66" s="49">
        <f t="shared" si="97"/>
        <v>11604.489795918369</v>
      </c>
      <c r="BE66" s="49">
        <f t="shared" ref="BE66:BS66" si="98">6*(1+MAX(0,$C$49-BE35)*1000/$BE$33)^2*$C$50</f>
        <v>131820</v>
      </c>
      <c r="BF66" s="49">
        <f t="shared" si="98"/>
        <v>118646.66666666667</v>
      </c>
      <c r="BG66" s="49">
        <f t="shared" si="98"/>
        <v>106166.66666666664</v>
      </c>
      <c r="BH66" s="49">
        <f t="shared" si="98"/>
        <v>94380</v>
      </c>
      <c r="BI66" s="49">
        <f t="shared" si="98"/>
        <v>83286.666666666672</v>
      </c>
      <c r="BJ66" s="49">
        <f t="shared" si="98"/>
        <v>72886.666666666642</v>
      </c>
      <c r="BK66" s="49">
        <f t="shared" si="98"/>
        <v>63180</v>
      </c>
      <c r="BL66" s="49">
        <f t="shared" si="98"/>
        <v>54166.666666666657</v>
      </c>
      <c r="BM66" s="49">
        <f t="shared" si="98"/>
        <v>45846.666666666679</v>
      </c>
      <c r="BN66" s="49">
        <f t="shared" si="98"/>
        <v>38220</v>
      </c>
      <c r="BO66" s="49">
        <f t="shared" si="98"/>
        <v>31286.666666666661</v>
      </c>
      <c r="BP66" s="49">
        <f t="shared" si="98"/>
        <v>25046.666666666668</v>
      </c>
      <c r="BQ66" s="49">
        <f t="shared" si="98"/>
        <v>19500</v>
      </c>
      <c r="BR66" s="49">
        <f t="shared" si="98"/>
        <v>14646.66666666667</v>
      </c>
      <c r="BS66" s="49">
        <f t="shared" si="98"/>
        <v>10486.666666666666</v>
      </c>
      <c r="BT66" s="49">
        <f t="shared" ref="BT66:CH66" si="99">6*(1+MAX(0,$C$49-BT35)*1000/$BT$33)^2*$C$50</f>
        <v>117048.75</v>
      </c>
      <c r="BU66" s="49">
        <f t="shared" si="99"/>
        <v>105409.6875</v>
      </c>
      <c r="BV66" s="49">
        <f t="shared" si="99"/>
        <v>94380</v>
      </c>
      <c r="BW66" s="49">
        <f t="shared" si="99"/>
        <v>83959.6875</v>
      </c>
      <c r="BX66" s="49">
        <f t="shared" si="99"/>
        <v>74148.75</v>
      </c>
      <c r="BY66" s="49">
        <f t="shared" si="99"/>
        <v>64947.1875</v>
      </c>
      <c r="BZ66" s="49">
        <f t="shared" si="99"/>
        <v>56355</v>
      </c>
      <c r="CA66" s="49">
        <f t="shared" si="99"/>
        <v>48372.1875</v>
      </c>
      <c r="CB66" s="49">
        <f t="shared" si="99"/>
        <v>40998.75</v>
      </c>
      <c r="CC66" s="49">
        <f t="shared" si="99"/>
        <v>34234.6875</v>
      </c>
      <c r="CD66" s="49">
        <f t="shared" si="99"/>
        <v>28080</v>
      </c>
      <c r="CE66" s="49">
        <f t="shared" si="99"/>
        <v>22534.6875</v>
      </c>
      <c r="CF66" s="49">
        <f t="shared" si="99"/>
        <v>17598.75</v>
      </c>
      <c r="CG66" s="49">
        <f t="shared" si="99"/>
        <v>13272.1875</v>
      </c>
      <c r="CH66" s="49">
        <f t="shared" si="99"/>
        <v>9555</v>
      </c>
      <c r="CI66" s="49">
        <f t="shared" ref="CI66:CW66" si="100">6*(1+MAX(0,$C$49-CI35)*1000/$CI$33)^2*$C$50</f>
        <v>104744.01384083045</v>
      </c>
      <c r="CJ66" s="49">
        <f t="shared" si="100"/>
        <v>94380</v>
      </c>
      <c r="CK66" s="49">
        <f t="shared" si="100"/>
        <v>84555.778546712798</v>
      </c>
      <c r="CL66" s="49">
        <f t="shared" si="100"/>
        <v>75271.349480968856</v>
      </c>
      <c r="CM66" s="49">
        <f t="shared" si="100"/>
        <v>66526.712802768147</v>
      </c>
      <c r="CN66" s="49">
        <f t="shared" si="100"/>
        <v>58321.868512110748</v>
      </c>
      <c r="CO66" s="49">
        <f t="shared" si="100"/>
        <v>50656.816608996538</v>
      </c>
      <c r="CP66" s="49">
        <f t="shared" si="100"/>
        <v>43531.55709342561</v>
      </c>
      <c r="CQ66" s="49">
        <f t="shared" si="100"/>
        <v>36946.089965397929</v>
      </c>
      <c r="CR66" s="49">
        <f t="shared" si="100"/>
        <v>30900.415224913493</v>
      </c>
      <c r="CS66" s="49">
        <f t="shared" si="100"/>
        <v>25394.532871972322</v>
      </c>
      <c r="CT66" s="49">
        <f t="shared" si="100"/>
        <v>20428.44290657439</v>
      </c>
      <c r="CU66" s="49">
        <f t="shared" si="100"/>
        <v>16002.145328719722</v>
      </c>
      <c r="CV66" s="49">
        <f t="shared" si="100"/>
        <v>12115.640138408307</v>
      </c>
      <c r="CW66" s="49">
        <f t="shared" si="100"/>
        <v>8768.9273356401391</v>
      </c>
      <c r="CX66" s="49">
        <f t="shared" ref="CX66:DL66" si="101">6*(1+MAX(0,$C$49-CX35)*1000/$CX$33)^2*$C$50</f>
        <v>94380</v>
      </c>
      <c r="CY66" s="49">
        <f t="shared" si="101"/>
        <v>85087.407407407401</v>
      </c>
      <c r="CZ66" s="49">
        <f t="shared" si="101"/>
        <v>76276.296296296292</v>
      </c>
      <c r="DA66" s="49">
        <f t="shared" si="101"/>
        <v>67946.666666666672</v>
      </c>
      <c r="DB66" s="49">
        <f t="shared" si="101"/>
        <v>60098.518518518526</v>
      </c>
      <c r="DC66" s="49">
        <f t="shared" si="101"/>
        <v>52731.851851851839</v>
      </c>
      <c r="DD66" s="49">
        <f t="shared" si="101"/>
        <v>45846.666666666679</v>
      </c>
      <c r="DE66" s="49">
        <f t="shared" si="101"/>
        <v>39442.962962962964</v>
      </c>
      <c r="DF66" s="49">
        <f t="shared" si="101"/>
        <v>33520.740740740737</v>
      </c>
      <c r="DG66" s="49">
        <f t="shared" si="101"/>
        <v>28080</v>
      </c>
      <c r="DH66" s="49">
        <f t="shared" si="101"/>
        <v>23120.740740740745</v>
      </c>
      <c r="DI66" s="49">
        <f t="shared" si="101"/>
        <v>18642.962962962964</v>
      </c>
      <c r="DJ66" s="49">
        <f t="shared" si="101"/>
        <v>14646.66666666667</v>
      </c>
      <c r="DK66" s="49">
        <f t="shared" si="101"/>
        <v>11131.85185185185</v>
      </c>
      <c r="DL66" s="49">
        <f t="shared" si="101"/>
        <v>8098.5185185185201</v>
      </c>
    </row>
    <row r="67" spans="1:116" ht="13.5" thickBot="1" x14ac:dyDescent="0.25">
      <c r="A67" s="4"/>
      <c r="B67" s="45" t="s">
        <v>8</v>
      </c>
      <c r="C67" s="156"/>
      <c r="D67" s="157">
        <v>30</v>
      </c>
      <c r="E67" s="153">
        <v>30</v>
      </c>
      <c r="F67" s="91">
        <f>E67-D67</f>
        <v>0</v>
      </c>
      <c r="G67" s="148"/>
      <c r="H67" s="148"/>
      <c r="I67" s="63">
        <f>AVERAGE(S66,S65)</f>
        <v>376</v>
      </c>
      <c r="J67" s="148"/>
      <c r="K67" s="148"/>
      <c r="L67" s="41">
        <f>IF(OR(J67="",J67=0),0,(1+SIN(V66))/(1-SIN(V66))*EXP(PI()*TAN(V66)))</f>
        <v>0</v>
      </c>
      <c r="M67" s="30">
        <f>IF(OR(K67=0,K67=""),0,9)</f>
        <v>0</v>
      </c>
      <c r="N67" s="64">
        <f>IF(J67&lt;&gt;"",MIN(3*I67*L67/1000,20),M67*K67/1000)</f>
        <v>0</v>
      </c>
      <c r="O67" s="31">
        <f>IF(J67&lt;&gt;"",MIN(120,I67*E$34*E$36*TAN(V66)),MIN(100,100*K67/(100+K67)*IF(A39="De acero",0.8,1)))</f>
        <v>0</v>
      </c>
      <c r="P67" s="9"/>
      <c r="AA67" s="32" t="str">
        <f t="shared" ref="AA67:BF67" si="102">IF($A49="Si",AA66/1000,"")</f>
        <v/>
      </c>
      <c r="AB67" s="32" t="str">
        <f t="shared" si="102"/>
        <v/>
      </c>
      <c r="AC67" s="32" t="str">
        <f t="shared" si="102"/>
        <v/>
      </c>
      <c r="AD67" s="32" t="str">
        <f t="shared" si="102"/>
        <v/>
      </c>
      <c r="AE67" s="32" t="str">
        <f t="shared" si="102"/>
        <v/>
      </c>
      <c r="AF67" s="32" t="str">
        <f t="shared" si="102"/>
        <v/>
      </c>
      <c r="AG67" s="32" t="str">
        <f t="shared" si="102"/>
        <v/>
      </c>
      <c r="AH67" s="32" t="str">
        <f t="shared" si="102"/>
        <v/>
      </c>
      <c r="AI67" s="32" t="str">
        <f t="shared" si="102"/>
        <v/>
      </c>
      <c r="AJ67" s="32" t="str">
        <f t="shared" si="102"/>
        <v/>
      </c>
      <c r="AK67" s="32" t="str">
        <f t="shared" si="102"/>
        <v/>
      </c>
      <c r="AL67" s="32" t="str">
        <f t="shared" si="102"/>
        <v/>
      </c>
      <c r="AM67" s="32" t="str">
        <f t="shared" si="102"/>
        <v/>
      </c>
      <c r="AN67" s="32" t="str">
        <f t="shared" si="102"/>
        <v/>
      </c>
      <c r="AO67" s="32" t="str">
        <f t="shared" si="102"/>
        <v/>
      </c>
      <c r="AP67" s="32" t="str">
        <f t="shared" si="102"/>
        <v/>
      </c>
      <c r="AQ67" s="32" t="str">
        <f t="shared" si="102"/>
        <v/>
      </c>
      <c r="AR67" s="32" t="str">
        <f t="shared" si="102"/>
        <v/>
      </c>
      <c r="AS67" s="32" t="str">
        <f t="shared" si="102"/>
        <v/>
      </c>
      <c r="AT67" s="32" t="str">
        <f t="shared" si="102"/>
        <v/>
      </c>
      <c r="AU67" s="32" t="str">
        <f t="shared" si="102"/>
        <v/>
      </c>
      <c r="AV67" s="32" t="str">
        <f t="shared" si="102"/>
        <v/>
      </c>
      <c r="AW67" s="32" t="str">
        <f t="shared" si="102"/>
        <v/>
      </c>
      <c r="AX67" s="32" t="str">
        <f t="shared" si="102"/>
        <v/>
      </c>
      <c r="AY67" s="32" t="str">
        <f t="shared" si="102"/>
        <v/>
      </c>
      <c r="AZ67" s="32" t="str">
        <f t="shared" si="102"/>
        <v/>
      </c>
      <c r="BA67" s="32" t="str">
        <f t="shared" si="102"/>
        <v/>
      </c>
      <c r="BB67" s="32" t="str">
        <f t="shared" si="102"/>
        <v/>
      </c>
      <c r="BC67" s="32" t="str">
        <f t="shared" si="102"/>
        <v/>
      </c>
      <c r="BD67" s="32" t="str">
        <f t="shared" si="102"/>
        <v/>
      </c>
      <c r="BE67" s="32" t="str">
        <f t="shared" si="102"/>
        <v/>
      </c>
      <c r="BF67" s="32" t="str">
        <f t="shared" si="102"/>
        <v/>
      </c>
      <c r="BG67" s="32" t="str">
        <f t="shared" ref="BG67:CL67" si="103">IF($A49="Si",BG66/1000,"")</f>
        <v/>
      </c>
      <c r="BH67" s="32" t="str">
        <f t="shared" si="103"/>
        <v/>
      </c>
      <c r="BI67" s="32" t="str">
        <f t="shared" si="103"/>
        <v/>
      </c>
      <c r="BJ67" s="32" t="str">
        <f t="shared" si="103"/>
        <v/>
      </c>
      <c r="BK67" s="32" t="str">
        <f t="shared" si="103"/>
        <v/>
      </c>
      <c r="BL67" s="32" t="str">
        <f t="shared" si="103"/>
        <v/>
      </c>
      <c r="BM67" s="32" t="str">
        <f t="shared" si="103"/>
        <v/>
      </c>
      <c r="BN67" s="32" t="str">
        <f t="shared" si="103"/>
        <v/>
      </c>
      <c r="BO67" s="32" t="str">
        <f t="shared" si="103"/>
        <v/>
      </c>
      <c r="BP67" s="32" t="str">
        <f t="shared" si="103"/>
        <v/>
      </c>
      <c r="BQ67" s="32" t="str">
        <f t="shared" si="103"/>
        <v/>
      </c>
      <c r="BR67" s="32" t="str">
        <f t="shared" si="103"/>
        <v/>
      </c>
      <c r="BS67" s="32" t="str">
        <f t="shared" si="103"/>
        <v/>
      </c>
      <c r="BT67" s="32" t="str">
        <f t="shared" si="103"/>
        <v/>
      </c>
      <c r="BU67" s="32" t="str">
        <f t="shared" si="103"/>
        <v/>
      </c>
      <c r="BV67" s="32" t="str">
        <f t="shared" si="103"/>
        <v/>
      </c>
      <c r="BW67" s="32" t="str">
        <f t="shared" si="103"/>
        <v/>
      </c>
      <c r="BX67" s="32" t="str">
        <f t="shared" si="103"/>
        <v/>
      </c>
      <c r="BY67" s="32" t="str">
        <f t="shared" si="103"/>
        <v/>
      </c>
      <c r="BZ67" s="32" t="str">
        <f t="shared" si="103"/>
        <v/>
      </c>
      <c r="CA67" s="32" t="str">
        <f t="shared" si="103"/>
        <v/>
      </c>
      <c r="CB67" s="32" t="str">
        <f t="shared" si="103"/>
        <v/>
      </c>
      <c r="CC67" s="32" t="str">
        <f t="shared" si="103"/>
        <v/>
      </c>
      <c r="CD67" s="32" t="str">
        <f t="shared" si="103"/>
        <v/>
      </c>
      <c r="CE67" s="32" t="str">
        <f t="shared" si="103"/>
        <v/>
      </c>
      <c r="CF67" s="32" t="str">
        <f t="shared" si="103"/>
        <v/>
      </c>
      <c r="CG67" s="32" t="str">
        <f t="shared" si="103"/>
        <v/>
      </c>
      <c r="CH67" s="32" t="str">
        <f t="shared" si="103"/>
        <v/>
      </c>
      <c r="CI67" s="32" t="str">
        <f t="shared" si="103"/>
        <v/>
      </c>
      <c r="CJ67" s="32" t="str">
        <f t="shared" si="103"/>
        <v/>
      </c>
      <c r="CK67" s="32" t="str">
        <f t="shared" si="103"/>
        <v/>
      </c>
      <c r="CL67" s="32" t="str">
        <f t="shared" si="103"/>
        <v/>
      </c>
      <c r="CM67" s="32" t="str">
        <f t="shared" ref="CM67:DL67" si="104">IF($A49="Si",CM66/1000,"")</f>
        <v/>
      </c>
      <c r="CN67" s="32" t="str">
        <f t="shared" si="104"/>
        <v/>
      </c>
      <c r="CO67" s="32" t="str">
        <f t="shared" si="104"/>
        <v/>
      </c>
      <c r="CP67" s="32" t="str">
        <f t="shared" si="104"/>
        <v/>
      </c>
      <c r="CQ67" s="32" t="str">
        <f t="shared" si="104"/>
        <v/>
      </c>
      <c r="CR67" s="32" t="str">
        <f t="shared" si="104"/>
        <v/>
      </c>
      <c r="CS67" s="32" t="str">
        <f t="shared" si="104"/>
        <v/>
      </c>
      <c r="CT67" s="32" t="str">
        <f t="shared" si="104"/>
        <v/>
      </c>
      <c r="CU67" s="32" t="str">
        <f t="shared" si="104"/>
        <v/>
      </c>
      <c r="CV67" s="32" t="str">
        <f t="shared" si="104"/>
        <v/>
      </c>
      <c r="CW67" s="32" t="str">
        <f t="shared" si="104"/>
        <v/>
      </c>
      <c r="CX67" s="32" t="str">
        <f t="shared" si="104"/>
        <v/>
      </c>
      <c r="CY67" s="32" t="str">
        <f t="shared" si="104"/>
        <v/>
      </c>
      <c r="CZ67" s="32" t="str">
        <f t="shared" si="104"/>
        <v/>
      </c>
      <c r="DA67" s="32" t="str">
        <f t="shared" si="104"/>
        <v/>
      </c>
      <c r="DB67" s="32" t="str">
        <f t="shared" si="104"/>
        <v/>
      </c>
      <c r="DC67" s="32" t="str">
        <f t="shared" si="104"/>
        <v/>
      </c>
      <c r="DD67" s="32" t="str">
        <f t="shared" si="104"/>
        <v/>
      </c>
      <c r="DE67" s="32" t="str">
        <f t="shared" si="104"/>
        <v/>
      </c>
      <c r="DF67" s="32" t="str">
        <f t="shared" si="104"/>
        <v/>
      </c>
      <c r="DG67" s="32" t="str">
        <f t="shared" si="104"/>
        <v/>
      </c>
      <c r="DH67" s="32" t="str">
        <f t="shared" si="104"/>
        <v/>
      </c>
      <c r="DI67" s="32" t="str">
        <f t="shared" si="104"/>
        <v/>
      </c>
      <c r="DJ67" s="32" t="str">
        <f t="shared" si="104"/>
        <v/>
      </c>
      <c r="DK67" s="32" t="str">
        <f t="shared" si="104"/>
        <v/>
      </c>
      <c r="DL67" s="32" t="str">
        <f t="shared" si="104"/>
        <v/>
      </c>
    </row>
    <row r="68" spans="1:116" ht="13.5" thickBot="1" x14ac:dyDescent="0.25">
      <c r="A68" s="6"/>
      <c r="B68" s="82"/>
      <c r="C68" s="82"/>
      <c r="D68" s="83"/>
      <c r="E68" s="84"/>
      <c r="F68" s="165"/>
      <c r="G68" s="82"/>
      <c r="H68" s="82"/>
      <c r="I68" s="82"/>
      <c r="J68" s="84"/>
      <c r="K68" s="85"/>
      <c r="L68" s="84"/>
      <c r="M68" s="84"/>
      <c r="N68" s="84"/>
      <c r="O68" s="7"/>
      <c r="P68" s="118"/>
      <c r="S68" s="46"/>
    </row>
    <row r="69" spans="1:116" ht="14.25" customHeight="1" thickBot="1" x14ac:dyDescent="0.25">
      <c r="A69" s="130"/>
      <c r="B69" s="131"/>
      <c r="C69" s="131"/>
      <c r="D69" s="132"/>
      <c r="E69" s="133"/>
      <c r="F69" s="131"/>
      <c r="G69" s="131"/>
      <c r="H69" s="131"/>
      <c r="I69" s="131"/>
      <c r="J69" s="133"/>
      <c r="K69" s="134"/>
      <c r="L69" s="133"/>
      <c r="M69" s="133"/>
      <c r="N69" s="133"/>
      <c r="O69" s="130"/>
      <c r="P69" s="135"/>
      <c r="S69" s="46"/>
    </row>
    <row r="70" spans="1:116" ht="14.25" customHeight="1" x14ac:dyDescent="0.2">
      <c r="A70" s="15" t="s">
        <v>131</v>
      </c>
      <c r="B70" s="13"/>
      <c r="C70" s="12"/>
      <c r="D70" s="13"/>
      <c r="E70" s="13"/>
      <c r="F70" s="13"/>
      <c r="G70" s="12"/>
      <c r="H70" s="13"/>
      <c r="I70" s="12"/>
      <c r="J70" s="13"/>
      <c r="K70" s="13"/>
      <c r="L70" s="13"/>
      <c r="M70" s="13"/>
      <c r="N70" s="13"/>
      <c r="O70" s="13"/>
      <c r="P70" s="3"/>
    </row>
    <row r="71" spans="1:116" ht="14.25" customHeight="1" x14ac:dyDescent="0.2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9"/>
    </row>
    <row r="72" spans="1:116" ht="14.25" customHeight="1" thickBot="1" x14ac:dyDescent="0.25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9"/>
    </row>
    <row r="73" spans="1:116" ht="14.25" customHeight="1" thickBot="1" x14ac:dyDescent="0.25">
      <c r="A73" s="4"/>
      <c r="B73" s="5"/>
      <c r="C73" s="52" t="s">
        <v>132</v>
      </c>
      <c r="D73" s="53"/>
      <c r="E73" s="53"/>
      <c r="F73" s="53"/>
      <c r="G73" s="53"/>
      <c r="H73" s="59"/>
      <c r="I73" s="5"/>
      <c r="J73" s="5"/>
      <c r="K73" s="5"/>
      <c r="L73" s="5"/>
      <c r="M73" s="5"/>
      <c r="N73" s="5"/>
      <c r="O73" s="5"/>
      <c r="P73" s="9"/>
    </row>
    <row r="74" spans="1:116" ht="14.25" customHeight="1" x14ac:dyDescent="0.2">
      <c r="A74" s="4"/>
      <c r="B74" s="75" t="s">
        <v>73</v>
      </c>
      <c r="C74" s="54" t="s">
        <v>30</v>
      </c>
      <c r="D74" s="54"/>
      <c r="E74" s="54"/>
      <c r="F74" s="54"/>
      <c r="G74" s="54"/>
      <c r="H74" s="55"/>
      <c r="I74" s="5"/>
      <c r="J74" s="5"/>
      <c r="K74" s="5"/>
      <c r="L74" s="5"/>
      <c r="M74" s="5"/>
      <c r="N74" s="5"/>
      <c r="O74" s="5"/>
      <c r="P74" s="9"/>
    </row>
    <row r="75" spans="1:116" ht="14.25" customHeight="1" x14ac:dyDescent="0.2">
      <c r="A75" s="4"/>
      <c r="B75" s="76" t="s">
        <v>74</v>
      </c>
      <c r="C75" s="60">
        <f t="shared" ref="C75:H75" si="105">B26</f>
        <v>650</v>
      </c>
      <c r="D75" s="61">
        <f t="shared" si="105"/>
        <v>700</v>
      </c>
      <c r="E75" s="56">
        <f t="shared" si="105"/>
        <v>750</v>
      </c>
      <c r="F75" s="56">
        <f t="shared" si="105"/>
        <v>800</v>
      </c>
      <c r="G75" s="56">
        <f t="shared" si="105"/>
        <v>850</v>
      </c>
      <c r="H75" s="57">
        <f t="shared" si="105"/>
        <v>900</v>
      </c>
      <c r="I75" s="5"/>
      <c r="J75" s="5"/>
      <c r="K75" s="5"/>
      <c r="L75" s="5"/>
      <c r="M75" s="5"/>
      <c r="N75" s="5"/>
      <c r="O75" s="5"/>
      <c r="P75" s="9"/>
    </row>
    <row r="76" spans="1:116" ht="14.25" customHeight="1" x14ac:dyDescent="0.2">
      <c r="A76" s="4"/>
      <c r="B76" s="27">
        <f>C29</f>
        <v>15</v>
      </c>
      <c r="C76" s="22">
        <f>MIN(C91,AA$55+AA$64)</f>
        <v>654.9296057197738</v>
      </c>
      <c r="D76" s="22">
        <f>MIN(D91,AP$55+AP$64)</f>
        <v>725.9255079489393</v>
      </c>
      <c r="E76" s="22">
        <f>MIN(E91,BE$55+BE$64)</f>
        <v>799.86665329084542</v>
      </c>
      <c r="F76" s="22">
        <f>MIN(F91,BT$55+BT$64)</f>
        <v>876.75304174549206</v>
      </c>
      <c r="G76" s="22">
        <f>MIN(G91,CI$55+CI$64)</f>
        <v>951.02143632214688</v>
      </c>
      <c r="H76" s="162">
        <f>MIN(H91,CX$55+CX$64)</f>
        <v>1015.7996030910826</v>
      </c>
      <c r="I76" s="5"/>
      <c r="J76" s="5"/>
      <c r="K76" s="5"/>
      <c r="L76" s="5"/>
      <c r="M76" s="5"/>
      <c r="N76" s="5"/>
      <c r="O76" s="5"/>
      <c r="P76" s="9"/>
    </row>
    <row r="77" spans="1:116" ht="14.25" customHeight="1" x14ac:dyDescent="0.2">
      <c r="A77" s="4"/>
      <c r="B77" s="27">
        <f>B76+C$30</f>
        <v>15.5</v>
      </c>
      <c r="C77" s="22">
        <f>MIN(C91,AB$55+AB$64)</f>
        <v>679.23954887255195</v>
      </c>
      <c r="D77" s="22">
        <f>MIN(D91,AQ$55+AQ$64)</f>
        <v>752.1054467288543</v>
      </c>
      <c r="E77" s="22">
        <f>MIN(E91,BF$55+BF$64)</f>
        <v>827.91658769789706</v>
      </c>
      <c r="F77" s="22">
        <f>MIN(F91,BU$55+BU$64)</f>
        <v>906.67297177968055</v>
      </c>
      <c r="G77" s="22">
        <f>MIN(G91,CJ$55+CJ$64)</f>
        <v>988.37459897420399</v>
      </c>
      <c r="H77" s="162">
        <f>MIN(H91,CY$55+CY$64)</f>
        <v>1073.0214692814682</v>
      </c>
      <c r="I77" s="5"/>
      <c r="J77" s="5"/>
      <c r="K77" s="5"/>
      <c r="L77" s="5"/>
      <c r="M77" s="5"/>
      <c r="N77" s="5"/>
      <c r="O77" s="5"/>
      <c r="P77" s="9"/>
    </row>
    <row r="78" spans="1:116" ht="14.25" customHeight="1" x14ac:dyDescent="0.2">
      <c r="A78" s="4"/>
      <c r="B78" s="27">
        <f t="shared" ref="B78:B90" si="106">B77+C$30</f>
        <v>16</v>
      </c>
      <c r="C78" s="22">
        <f>MIN(C91,AC$55+AC$64)</f>
        <v>703.54949202532998</v>
      </c>
      <c r="D78" s="22">
        <f>MIN(D91,AR$55+AR$64)</f>
        <v>778.2853855087692</v>
      </c>
      <c r="E78" s="22">
        <f>MIN(E91,BG$55+BG$64)</f>
        <v>855.96652210494869</v>
      </c>
      <c r="F78" s="22">
        <f>MIN(F91,BV$55+BV$64)</f>
        <v>936.59290181386893</v>
      </c>
      <c r="G78" s="22">
        <f>MIN(G91,CK$55+CK$64)</f>
        <v>1020.1645246355292</v>
      </c>
      <c r="H78" s="162">
        <f>MIN(H91,CZ$55+CZ$64)</f>
        <v>1106.6813905699303</v>
      </c>
      <c r="I78" s="5"/>
      <c r="J78" s="5"/>
      <c r="K78" s="5"/>
      <c r="L78" s="5"/>
      <c r="M78" s="5"/>
      <c r="N78" s="5"/>
      <c r="O78" s="5"/>
      <c r="P78" s="9"/>
    </row>
    <row r="79" spans="1:116" ht="14.25" customHeight="1" x14ac:dyDescent="0.2">
      <c r="A79" s="4"/>
      <c r="B79" s="27">
        <f t="shared" si="106"/>
        <v>16.5</v>
      </c>
      <c r="C79" s="22">
        <f>MIN(C91,AD$55+AD$64)</f>
        <v>727.85943517810813</v>
      </c>
      <c r="D79" s="22">
        <f>MIN(D91,AS$55+AS$64)</f>
        <v>804.4653242886842</v>
      </c>
      <c r="E79" s="22">
        <f>MIN(E91,BH$55+BH$64)</f>
        <v>884.01645651200067</v>
      </c>
      <c r="F79" s="22">
        <f>MIN(F91,BW$55+BW$64)</f>
        <v>966.51283184805743</v>
      </c>
      <c r="G79" s="22">
        <f>MIN(G91,CL$55+CL$64)</f>
        <v>1051.9544502968547</v>
      </c>
      <c r="H79" s="162">
        <f>MIN(H91,DA$55+DA$64)</f>
        <v>1140.3413118583924</v>
      </c>
      <c r="I79" s="5"/>
      <c r="J79" s="5"/>
      <c r="K79" s="5"/>
      <c r="L79" s="5"/>
      <c r="M79" s="5"/>
      <c r="N79" s="5"/>
      <c r="O79" s="5"/>
      <c r="P79" s="9"/>
    </row>
    <row r="80" spans="1:116" ht="14.25" customHeight="1" x14ac:dyDescent="0.2">
      <c r="A80" s="4"/>
      <c r="B80" s="27">
        <f t="shared" si="106"/>
        <v>17</v>
      </c>
      <c r="C80" s="22">
        <f>MIN(C91,AE$55+AE$64)</f>
        <v>752.16937833088639</v>
      </c>
      <c r="D80" s="22">
        <f>MIN(D91,AT$55+AT$64)</f>
        <v>830.64526306859909</v>
      </c>
      <c r="E80" s="22">
        <f>MIN(E91,BI$55+BI$64)</f>
        <v>912.0663909190522</v>
      </c>
      <c r="F80" s="22">
        <f>MIN(F91,BX$55+BX$64)</f>
        <v>996.43276188224593</v>
      </c>
      <c r="G80" s="22">
        <f>MIN(G91,CM$55+CM$64)</f>
        <v>1083.7443759581797</v>
      </c>
      <c r="H80" s="162">
        <f>MIN(H91,DB$55+DB$64)</f>
        <v>1174.0012331468542</v>
      </c>
      <c r="I80" s="5"/>
      <c r="J80" s="5"/>
      <c r="K80" s="5"/>
      <c r="L80" s="5"/>
      <c r="M80" s="5"/>
      <c r="N80" s="5"/>
      <c r="O80" s="5"/>
      <c r="P80" s="9"/>
    </row>
    <row r="81" spans="1:16" ht="14.25" customHeight="1" x14ac:dyDescent="0.2">
      <c r="A81" s="4"/>
      <c r="B81" s="27">
        <f t="shared" si="106"/>
        <v>17.5</v>
      </c>
      <c r="C81" s="22">
        <f>MIN(C91,AF$55+AF$64)</f>
        <v>776.47932148366453</v>
      </c>
      <c r="D81" s="22">
        <f>MIN(D91,AU$55+AU$64)</f>
        <v>856.82520184851398</v>
      </c>
      <c r="E81" s="22">
        <f>MIN(E91,BJ$55+BJ$64)</f>
        <v>940.11632532610417</v>
      </c>
      <c r="F81" s="22">
        <f>MIN(F91,BY$55+BY$64)</f>
        <v>1026.3526919164347</v>
      </c>
      <c r="G81" s="22">
        <f>MIN(G91,CN$55+CN$64)</f>
        <v>1115.5343016195052</v>
      </c>
      <c r="H81" s="162">
        <f>MIN(H91,DC$55+DC$64)</f>
        <v>1207.6611544353166</v>
      </c>
      <c r="I81" s="5"/>
      <c r="J81" s="5"/>
      <c r="K81" s="5"/>
      <c r="L81" s="5"/>
      <c r="M81" s="5"/>
      <c r="N81" s="5"/>
      <c r="O81" s="5"/>
      <c r="P81" s="9"/>
    </row>
    <row r="82" spans="1:16" ht="14.25" customHeight="1" x14ac:dyDescent="0.2">
      <c r="A82" s="4"/>
      <c r="B82" s="27">
        <f t="shared" si="106"/>
        <v>18</v>
      </c>
      <c r="C82" s="22">
        <f>MIN(C91,AG$55+AG$64)</f>
        <v>800.78926463644279</v>
      </c>
      <c r="D82" s="22">
        <f>MIN(D91,AV$55+AV$64)</f>
        <v>883.00514062842899</v>
      </c>
      <c r="E82" s="22">
        <f>MIN(E91,BK$55+BK$64)</f>
        <v>968.1662597331557</v>
      </c>
      <c r="F82" s="22">
        <f>MIN(F91,BZ$55+BZ$64)</f>
        <v>1056.272621950623</v>
      </c>
      <c r="G82" s="22">
        <f>MIN(G91,CO$55+CO$64)</f>
        <v>1147.3242272808304</v>
      </c>
      <c r="H82" s="162">
        <f>MIN(H91,DD$55+DD$64)</f>
        <v>1241.3210757237784</v>
      </c>
      <c r="I82" s="5"/>
      <c r="J82" s="5"/>
      <c r="K82" s="5"/>
      <c r="L82" s="5"/>
      <c r="M82" s="5"/>
      <c r="N82" s="5"/>
      <c r="O82" s="5"/>
      <c r="P82" s="9"/>
    </row>
    <row r="83" spans="1:16" ht="14.25" customHeight="1" x14ac:dyDescent="0.2">
      <c r="A83" s="4"/>
      <c r="B83" s="27">
        <f t="shared" si="106"/>
        <v>18.5</v>
      </c>
      <c r="C83" s="22">
        <f>MIN(C91,AH$55+AH$64)</f>
        <v>825.09920778922094</v>
      </c>
      <c r="D83" s="22">
        <f>MIN(D91,AW$55+AW$64)</f>
        <v>909.18507940834388</v>
      </c>
      <c r="E83" s="22">
        <f>MIN(E91,BL$55+BL$64)</f>
        <v>996.21619414020745</v>
      </c>
      <c r="F83" s="22">
        <f>MIN(F91,CA$55+CA$64)</f>
        <v>1086.1925519848114</v>
      </c>
      <c r="G83" s="22">
        <f>MIN(G91,CP$55+CP$64)</f>
        <v>1179.1141529421557</v>
      </c>
      <c r="H83" s="162">
        <f>MIN(H91,DE$55+DE$64)</f>
        <v>1274.9809970122408</v>
      </c>
      <c r="I83" s="5"/>
      <c r="J83" s="5"/>
      <c r="K83" s="5"/>
      <c r="L83" s="5"/>
      <c r="M83" s="5"/>
      <c r="N83" s="5"/>
      <c r="O83" s="5"/>
      <c r="P83" s="9"/>
    </row>
    <row r="84" spans="1:16" ht="14.25" customHeight="1" x14ac:dyDescent="0.2">
      <c r="A84" s="4"/>
      <c r="B84" s="27">
        <f t="shared" si="106"/>
        <v>19</v>
      </c>
      <c r="C84" s="22">
        <f>MIN(C91,AI$55+AI$64)</f>
        <v>849.4091509419992</v>
      </c>
      <c r="D84" s="22">
        <f>MIN(D91,AX$55+AX$64)</f>
        <v>935.36501818825889</v>
      </c>
      <c r="E84" s="22">
        <f>MIN(E91,BM$55+BM$64)</f>
        <v>1024.2661285472591</v>
      </c>
      <c r="F84" s="22">
        <f>MIN(F91,CB$55+CB$64)</f>
        <v>1116.112482019</v>
      </c>
      <c r="G84" s="22">
        <f>MIN(G91,CQ$55+CQ$64)</f>
        <v>1210.9040786034811</v>
      </c>
      <c r="H84" s="162">
        <f>MIN(H91,DF$55+DF$64)</f>
        <v>1308.6409183007027</v>
      </c>
      <c r="I84" s="5"/>
      <c r="J84" s="5"/>
      <c r="K84" s="5"/>
      <c r="L84" s="5"/>
      <c r="M84" s="5"/>
      <c r="N84" s="5"/>
      <c r="O84" s="5"/>
      <c r="P84" s="9"/>
    </row>
    <row r="85" spans="1:16" ht="14.25" customHeight="1" x14ac:dyDescent="0.2">
      <c r="A85" s="4"/>
      <c r="B85" s="27">
        <f t="shared" si="106"/>
        <v>19.5</v>
      </c>
      <c r="C85" s="22">
        <f>MIN(C91,AJ$55+AJ$64)</f>
        <v>873.71909409477723</v>
      </c>
      <c r="D85" s="22">
        <f>MIN(D91,AY$55+AY$64)</f>
        <v>961.54495696817366</v>
      </c>
      <c r="E85" s="22">
        <f>MIN(E91,BN$55+BN$64)</f>
        <v>1052.3160629543108</v>
      </c>
      <c r="F85" s="22">
        <f>MIN(F91,CC$55+CC$64)</f>
        <v>1146.0324120531886</v>
      </c>
      <c r="G85" s="22">
        <f>MIN(G91,CR$55+CR$64)</f>
        <v>1242.6940042648062</v>
      </c>
      <c r="H85" s="162">
        <f>MIN(H91,DG$55+DG$64)</f>
        <v>1342.3008395891648</v>
      </c>
      <c r="I85" s="5"/>
      <c r="J85" s="5"/>
      <c r="K85" s="5"/>
      <c r="L85" s="5"/>
      <c r="M85" s="5"/>
      <c r="N85" s="5"/>
      <c r="O85" s="5"/>
      <c r="P85" s="9"/>
    </row>
    <row r="86" spans="1:16" ht="14.25" customHeight="1" x14ac:dyDescent="0.2">
      <c r="A86" s="4"/>
      <c r="B86" s="27">
        <f t="shared" si="106"/>
        <v>20</v>
      </c>
      <c r="C86" s="22">
        <f>MIN(C91,AK$55+AK$64)</f>
        <v>898.02903724755538</v>
      </c>
      <c r="D86" s="22">
        <f>MIN(D91,AZ$55+AZ$64)</f>
        <v>987.72489574808867</v>
      </c>
      <c r="E86" s="22">
        <f>MIN(E91,BO$55+BO$64)</f>
        <v>1080.3659973613626</v>
      </c>
      <c r="F86" s="22">
        <f>MIN(F91,CD$55+CD$64)</f>
        <v>1175.9523420873772</v>
      </c>
      <c r="G86" s="22">
        <f>MIN(G91,CS$55+CS$64)</f>
        <v>1274.4839299261316</v>
      </c>
      <c r="H86" s="162">
        <f>MIN(H91,DH$55+DH$64)</f>
        <v>1375.9607608776269</v>
      </c>
      <c r="I86" s="5"/>
      <c r="J86" s="5"/>
      <c r="K86" s="5"/>
      <c r="L86" s="5"/>
      <c r="M86" s="5"/>
      <c r="N86" s="5"/>
      <c r="O86" s="5"/>
      <c r="P86" s="9"/>
    </row>
    <row r="87" spans="1:16" ht="14.25" customHeight="1" x14ac:dyDescent="0.2">
      <c r="A87" s="4"/>
      <c r="B87" s="27">
        <f t="shared" si="106"/>
        <v>20.5</v>
      </c>
      <c r="C87" s="22">
        <f>MIN(C91,AL$55+AL$64)</f>
        <v>922.33898040033353</v>
      </c>
      <c r="D87" s="22">
        <f>MIN(D91,BA$55+BA$64)</f>
        <v>1013.9048345280037</v>
      </c>
      <c r="E87" s="22">
        <f>MIN(E91,BP$55+BP$64)</f>
        <v>1108.4159317684143</v>
      </c>
      <c r="F87" s="22">
        <f>MIN(F91,CE$55+CE$64)</f>
        <v>1205.8722721215654</v>
      </c>
      <c r="G87" s="22">
        <f>MIN(G91,CT$55+CT$64)</f>
        <v>1306.2738555874569</v>
      </c>
      <c r="H87" s="162">
        <f>MIN(H91,DI$55+DI$64)</f>
        <v>1409.620682166089</v>
      </c>
      <c r="I87" s="5"/>
      <c r="J87" s="5"/>
      <c r="K87" s="5"/>
      <c r="L87" s="5"/>
      <c r="M87" s="5"/>
      <c r="N87" s="5"/>
      <c r="O87" s="5"/>
      <c r="P87" s="9"/>
    </row>
    <row r="88" spans="1:16" ht="14.25" customHeight="1" x14ac:dyDescent="0.2">
      <c r="A88" s="4"/>
      <c r="B88" s="27">
        <f t="shared" si="106"/>
        <v>21</v>
      </c>
      <c r="C88" s="22">
        <f>MIN(C91,AM$55+AM$64)</f>
        <v>946.64892355311179</v>
      </c>
      <c r="D88" s="22">
        <f>MIN(D91,BB$55+BB$64)</f>
        <v>1040.0847733079186</v>
      </c>
      <c r="E88" s="22">
        <f>MIN(E91,BQ$55+BQ$64)</f>
        <v>1136.4658661754661</v>
      </c>
      <c r="F88" s="22">
        <f>MIN(F91,CF$55+CF$64)</f>
        <v>1235.792202155754</v>
      </c>
      <c r="G88" s="22">
        <f>MIN(G91,CU$55+CU$64)</f>
        <v>1338.0637812487821</v>
      </c>
      <c r="H88" s="162">
        <f>MIN(H91,DJ$55+DJ$64)</f>
        <v>1443.2806034545511</v>
      </c>
      <c r="I88" s="5"/>
      <c r="J88" s="5"/>
      <c r="K88" s="5"/>
      <c r="L88" s="5"/>
      <c r="M88" s="5"/>
      <c r="N88" s="5"/>
      <c r="O88" s="5"/>
      <c r="P88" s="9"/>
    </row>
    <row r="89" spans="1:16" ht="14.25" customHeight="1" x14ac:dyDescent="0.2">
      <c r="A89" s="4"/>
      <c r="B89" s="27">
        <f t="shared" si="106"/>
        <v>21.5</v>
      </c>
      <c r="C89" s="22">
        <f>MIN(C91,AN$55+AN$64)</f>
        <v>970.95886670588982</v>
      </c>
      <c r="D89" s="22">
        <f>MIN(D91,BC$55+BC$64)</f>
        <v>1066.2647120878337</v>
      </c>
      <c r="E89" s="22">
        <f>MIN(E91,BR$55+BR$64)</f>
        <v>1164.5158005825178</v>
      </c>
      <c r="F89" s="22">
        <f>MIN(F91,CG$55+CG$64)</f>
        <v>1265.7121321899426</v>
      </c>
      <c r="G89" s="22">
        <f>MIN(G91,CV$55+CV$64)</f>
        <v>1369.8537069101076</v>
      </c>
      <c r="H89" s="162">
        <f>MIN(H91,DK$55+DK$64)</f>
        <v>1476.9405247430132</v>
      </c>
      <c r="I89" s="5"/>
      <c r="J89" s="5"/>
      <c r="K89" s="5"/>
      <c r="L89" s="5"/>
      <c r="M89" s="5"/>
      <c r="N89" s="5"/>
      <c r="O89" s="5"/>
      <c r="P89" s="9"/>
    </row>
    <row r="90" spans="1:16" ht="14.25" customHeight="1" thickBot="1" x14ac:dyDescent="0.25">
      <c r="A90" s="4"/>
      <c r="B90" s="29">
        <f t="shared" si="106"/>
        <v>22</v>
      </c>
      <c r="C90" s="41">
        <f>MIN(C91,AO$55+AO$64)</f>
        <v>995.26880985866796</v>
      </c>
      <c r="D90" s="41">
        <f>MIN(D91,BD$55+BD$64)</f>
        <v>1092.4446508677484</v>
      </c>
      <c r="E90" s="41">
        <f>MIN(E91,BS$55+BS$64)</f>
        <v>1192.5657349895696</v>
      </c>
      <c r="F90" s="41">
        <f>MIN(F91,CH$55+CH$64)</f>
        <v>1295.632062224131</v>
      </c>
      <c r="G90" s="41">
        <f>MIN(G91,CW$55+CW$64)</f>
        <v>1401.6436325714328</v>
      </c>
      <c r="H90" s="143">
        <f>MIN(H91,DL$55+DL$64)</f>
        <v>1510.6004460314748</v>
      </c>
      <c r="I90" s="5"/>
      <c r="J90" s="5"/>
      <c r="K90" s="5"/>
      <c r="L90" s="5"/>
      <c r="M90" s="5"/>
      <c r="N90" s="5"/>
      <c r="O90" s="5"/>
      <c r="P90" s="9"/>
    </row>
    <row r="91" spans="1:16" ht="14.25" customHeight="1" thickBot="1" x14ac:dyDescent="0.25">
      <c r="A91" s="4"/>
      <c r="B91" s="129" t="s">
        <v>130</v>
      </c>
      <c r="C91" s="161">
        <f t="shared" ref="C91:H91" si="107">$B$40*PI()*(C75/1000)^2/4*1000</f>
        <v>1659.1536201771096</v>
      </c>
      <c r="D91" s="161">
        <f t="shared" si="107"/>
        <v>1924.2255003237481</v>
      </c>
      <c r="E91" s="161">
        <f t="shared" si="107"/>
        <v>2208.9323345553235</v>
      </c>
      <c r="F91" s="161">
        <f t="shared" si="107"/>
        <v>2513.2741228718351</v>
      </c>
      <c r="G91" s="161">
        <f t="shared" si="107"/>
        <v>2837.2508652732813</v>
      </c>
      <c r="H91" s="161">
        <f t="shared" si="107"/>
        <v>3180.8625617596658</v>
      </c>
      <c r="I91" s="5"/>
      <c r="J91" s="5"/>
      <c r="K91" s="5"/>
      <c r="L91" s="5"/>
      <c r="M91" s="5"/>
      <c r="N91" s="5"/>
      <c r="O91" s="5"/>
      <c r="P91" s="9"/>
    </row>
    <row r="92" spans="1:16" ht="15.75" customHeight="1" x14ac:dyDescent="0.2">
      <c r="A92" s="4"/>
      <c r="B92" s="5"/>
      <c r="C92" s="5"/>
      <c r="D92" s="50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9"/>
    </row>
    <row r="93" spans="1:16" ht="13.5" thickBot="1" x14ac:dyDescent="0.25">
      <c r="A93" s="6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10"/>
    </row>
    <row r="94" spans="1:16" ht="13.5" thickBot="1" x14ac:dyDescent="0.25">
      <c r="A94" s="2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spans="1:16" ht="13.5" thickBot="1" x14ac:dyDescent="0.25">
      <c r="A95" s="16" t="s">
        <v>110</v>
      </c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36"/>
      <c r="N95" s="36"/>
      <c r="O95" s="36"/>
      <c r="P95" s="37"/>
    </row>
    <row r="96" spans="1:16" ht="13.5" thickBot="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</row>
    <row r="97" spans="1:16" x14ac:dyDescent="0.2">
      <c r="A97" s="15" t="s">
        <v>111</v>
      </c>
      <c r="B97" s="13"/>
      <c r="C97" s="12"/>
      <c r="D97" s="13"/>
      <c r="E97" s="13"/>
      <c r="F97" s="13"/>
      <c r="G97" s="13"/>
      <c r="H97" s="13"/>
      <c r="I97" s="14"/>
      <c r="J97" s="144" t="s">
        <v>114</v>
      </c>
      <c r="K97" s="12"/>
      <c r="L97" s="12"/>
      <c r="M97" s="12"/>
      <c r="N97" s="12"/>
      <c r="O97" s="12"/>
      <c r="P97" s="14"/>
    </row>
    <row r="98" spans="1:16" x14ac:dyDescent="0.2">
      <c r="A98" s="4"/>
      <c r="B98" s="5"/>
      <c r="C98" s="5"/>
      <c r="D98" s="5"/>
      <c r="E98" s="5"/>
      <c r="F98" s="5"/>
      <c r="G98" s="5"/>
      <c r="H98" s="5"/>
      <c r="I98" s="9"/>
      <c r="J98" s="5"/>
      <c r="K98" s="5"/>
      <c r="L98" s="5"/>
      <c r="M98" s="5"/>
      <c r="N98" s="5"/>
      <c r="O98" s="5"/>
      <c r="P98" s="9"/>
    </row>
    <row r="99" spans="1:16" ht="12.75" customHeight="1" x14ac:dyDescent="0.2">
      <c r="A99" s="174" t="s">
        <v>113</v>
      </c>
      <c r="B99" s="175"/>
      <c r="C99" s="175"/>
      <c r="D99" s="175"/>
      <c r="E99" s="175"/>
      <c r="F99" s="175"/>
      <c r="G99" s="175"/>
      <c r="H99" s="175"/>
      <c r="I99" s="176"/>
      <c r="J99" s="92" t="s">
        <v>115</v>
      </c>
      <c r="K99" s="5"/>
      <c r="L99" s="5"/>
      <c r="M99" s="5"/>
      <c r="N99" s="5"/>
      <c r="O99" s="5"/>
      <c r="P99" s="9"/>
    </row>
    <row r="100" spans="1:16" x14ac:dyDescent="0.2">
      <c r="A100" s="174"/>
      <c r="B100" s="175"/>
      <c r="C100" s="175"/>
      <c r="D100" s="175"/>
      <c r="E100" s="175"/>
      <c r="F100" s="175"/>
      <c r="G100" s="175"/>
      <c r="H100" s="175"/>
      <c r="I100" s="176"/>
      <c r="J100" s="92" t="s">
        <v>117</v>
      </c>
      <c r="K100" s="5"/>
      <c r="L100" s="5"/>
      <c r="M100" s="5"/>
      <c r="N100" s="5"/>
      <c r="O100" s="5"/>
      <c r="P100" s="9"/>
    </row>
    <row r="101" spans="1:16" x14ac:dyDescent="0.2">
      <c r="A101" s="174"/>
      <c r="B101" s="175"/>
      <c r="C101" s="175"/>
      <c r="D101" s="175"/>
      <c r="E101" s="175"/>
      <c r="F101" s="175"/>
      <c r="G101" s="175"/>
      <c r="H101" s="175"/>
      <c r="I101" s="176"/>
      <c r="J101" s="92" t="s">
        <v>116</v>
      </c>
      <c r="K101" s="5"/>
      <c r="L101" s="5"/>
      <c r="M101" s="5"/>
      <c r="N101" s="5"/>
      <c r="O101" s="5"/>
      <c r="P101" s="9"/>
    </row>
    <row r="102" spans="1:16" ht="13.5" thickBot="1" x14ac:dyDescent="0.25">
      <c r="A102" s="4"/>
      <c r="B102" s="5"/>
      <c r="C102" s="5"/>
      <c r="D102" s="5"/>
      <c r="E102" s="5"/>
      <c r="F102" s="5"/>
      <c r="G102" s="5"/>
      <c r="H102" s="5"/>
      <c r="I102" s="9"/>
      <c r="J102" s="5"/>
      <c r="K102" s="5"/>
      <c r="L102" s="5"/>
      <c r="M102" s="5"/>
      <c r="N102" s="5"/>
      <c r="O102" s="5"/>
      <c r="P102" s="9"/>
    </row>
    <row r="103" spans="1:16" x14ac:dyDescent="0.2">
      <c r="A103" s="4"/>
      <c r="B103" s="5"/>
      <c r="C103" s="140" t="s">
        <v>30</v>
      </c>
      <c r="D103" s="54"/>
      <c r="E103" s="54"/>
      <c r="F103" s="54"/>
      <c r="G103" s="54"/>
      <c r="H103" s="55"/>
      <c r="I103" s="145"/>
      <c r="J103" s="5"/>
      <c r="K103" s="5"/>
      <c r="L103" s="5"/>
      <c r="M103" s="5"/>
      <c r="N103" s="5"/>
      <c r="O103" s="5"/>
      <c r="P103" s="9"/>
    </row>
    <row r="104" spans="1:16" x14ac:dyDescent="0.2">
      <c r="A104" s="4"/>
      <c r="B104" s="5"/>
      <c r="C104" s="141">
        <f t="shared" ref="C104:H104" si="108">B26</f>
        <v>650</v>
      </c>
      <c r="D104" s="61">
        <f t="shared" si="108"/>
        <v>700</v>
      </c>
      <c r="E104" s="61">
        <f t="shared" si="108"/>
        <v>750</v>
      </c>
      <c r="F104" s="61">
        <f t="shared" si="108"/>
        <v>800</v>
      </c>
      <c r="G104" s="61">
        <f t="shared" si="108"/>
        <v>850</v>
      </c>
      <c r="H104" s="142">
        <f t="shared" si="108"/>
        <v>900</v>
      </c>
      <c r="I104" s="145"/>
      <c r="J104" s="5"/>
      <c r="K104" s="5"/>
      <c r="L104" s="5"/>
      <c r="M104" s="5"/>
      <c r="N104" s="5"/>
      <c r="O104" s="5"/>
      <c r="P104" s="9"/>
    </row>
    <row r="105" spans="1:16" ht="13.5" thickBot="1" x14ac:dyDescent="0.25">
      <c r="A105" s="4"/>
      <c r="B105" s="146" t="s">
        <v>112</v>
      </c>
      <c r="C105" s="29">
        <f t="shared" ref="C105:H105" si="109">C104/1000</f>
        <v>0.65</v>
      </c>
      <c r="D105" s="41">
        <f t="shared" si="109"/>
        <v>0.7</v>
      </c>
      <c r="E105" s="41">
        <f t="shared" si="109"/>
        <v>0.75</v>
      </c>
      <c r="F105" s="41">
        <f t="shared" si="109"/>
        <v>0.8</v>
      </c>
      <c r="G105" s="41">
        <f t="shared" si="109"/>
        <v>0.85</v>
      </c>
      <c r="H105" s="143">
        <f t="shared" si="109"/>
        <v>0.9</v>
      </c>
      <c r="I105" s="145"/>
      <c r="J105" s="5"/>
      <c r="K105" s="5"/>
      <c r="L105" s="5"/>
      <c r="M105" s="5"/>
      <c r="N105" s="5"/>
      <c r="O105" s="5"/>
      <c r="P105" s="9"/>
    </row>
    <row r="106" spans="1:16" ht="13.5" thickBot="1" x14ac:dyDescent="0.25">
      <c r="A106" s="6"/>
      <c r="B106" s="7"/>
      <c r="C106" s="7"/>
      <c r="D106" s="7"/>
      <c r="E106" s="7"/>
      <c r="F106" s="7"/>
      <c r="G106" s="7"/>
      <c r="H106" s="7"/>
      <c r="I106" s="10"/>
      <c r="J106" s="7"/>
      <c r="K106" s="7"/>
      <c r="L106" s="7"/>
      <c r="M106" s="7"/>
      <c r="N106" s="7"/>
      <c r="O106" s="7"/>
      <c r="P106" s="10"/>
    </row>
  </sheetData>
  <mergeCells count="10">
    <mergeCell ref="A34:C34"/>
    <mergeCell ref="N59:O60"/>
    <mergeCell ref="A53:C53"/>
    <mergeCell ref="A99:I101"/>
    <mergeCell ref="Z38:Z42"/>
    <mergeCell ref="X50:X56"/>
    <mergeCell ref="A35:C35"/>
    <mergeCell ref="L61:L62"/>
    <mergeCell ref="M61:M62"/>
    <mergeCell ref="X46:X48"/>
  </mergeCells>
  <phoneticPr fontId="2" type="noConversion"/>
  <conditionalFormatting sqref="C76:H90">
    <cfRule type="expression" dxfId="6" priority="11" stopIfTrue="1">
      <formula>IF($B76&lt;8*C$75/1000,TRUE)</formula>
    </cfRule>
  </conditionalFormatting>
  <conditionalFormatting sqref="A39:C39">
    <cfRule type="expression" dxfId="5" priority="7" stopIfTrue="1">
      <formula>IF($A$35&lt;&gt;$R$7,TRUE)</formula>
    </cfRule>
  </conditionalFormatting>
  <conditionalFormatting sqref="B48:D48 F48 A41:G41">
    <cfRule type="expression" dxfId="4" priority="8" stopIfTrue="1">
      <formula>IF($A$34&lt;&gt;$R$3,TRUE)</formula>
    </cfRule>
  </conditionalFormatting>
  <conditionalFormatting sqref="K34:K35 C54:C56">
    <cfRule type="expression" dxfId="3" priority="9" stopIfTrue="1">
      <formula>IF($D$26="Circular",TRUE)</formula>
    </cfRule>
  </conditionalFormatting>
  <conditionalFormatting sqref="B49:E50">
    <cfRule type="expression" dxfId="2" priority="16" stopIfTrue="1">
      <formula>IF($A$49="No",TRUE)</formula>
    </cfRule>
  </conditionalFormatting>
  <conditionalFormatting sqref="A38:C38">
    <cfRule type="expression" dxfId="1" priority="1" stopIfTrue="1">
      <formula>IF(AND($A$35&lt;&gt;$R$6,$A$35&lt;&gt;$R$7),TRUE)</formula>
    </cfRule>
  </conditionalFormatting>
  <conditionalFormatting sqref="L63:M67">
    <cfRule type="cellIs" dxfId="0" priority="23" stopIfTrue="1" operator="equal">
      <formula>0</formula>
    </cfRule>
  </conditionalFormatting>
  <dataValidations count="7">
    <dataValidation type="custom" allowBlank="1" showInputMessage="1" showErrorMessage="1" errorTitle="Fuera de rango" error="La zona de influencia de la punta para el diámetro mayor supera en profundidad al terreno definido. Aumentar el espesor de la útlima capa o reducir la longitud mínima de pilotes." sqref="C29" xr:uid="{BF1BCBEE-6BF4-49B5-8842-80D0575CFAAA}">
      <formula1>IF(C29+MAX(B26:G26)/1000&lt;E67,TRUE,FALSE)</formula1>
    </dataValidation>
    <dataValidation type="custom" errorStyle="warning" allowBlank="1" showInputMessage="1" showErrorMessage="1" errorTitle="Granular o cohesivo puro" error="Rellenar sólo una de las columnas: ángulo o cohesión" sqref="K63:K67" xr:uid="{B20F414D-0062-4640-A4C8-E11C3B5C90EC}">
      <formula1>IF(AND(J63&lt;&gt;"",K63&lt;&gt;""),FALSE,TRUE)</formula1>
    </dataValidation>
    <dataValidation allowBlank="1" showInputMessage="1" showErrorMessage="1" error="La zona de influencia de la punta para el diámetro mayor supera en profundidad al terreno definido. Aumentar el espesor de la útlima capa o reducir la longitud mínima de pilotes." sqref="E67" xr:uid="{B9640E2F-1E4B-4538-814C-0C31404680BC}"/>
    <dataValidation type="list" allowBlank="1" showInputMessage="1" showErrorMessage="1" sqref="A49 G41" xr:uid="{F5819EA8-2D0E-4968-853C-EF8E2AD60E03}">
      <formula1>"Si,No"</formula1>
    </dataValidation>
    <dataValidation type="list" allowBlank="1" showInputMessage="1" showErrorMessage="1" sqref="A53" xr:uid="{F9B1EACE-82AF-45FD-ABED-2892EEE5A2D4}">
      <formula1>"Situación persistente,Situación transitoria,Situación extraordinaria"</formula1>
    </dataValidation>
    <dataValidation type="list" allowBlank="1" showInputMessage="1" showErrorMessage="1" sqref="A34" xr:uid="{2FD1C9F8-EAD2-4FEA-AFFE-72DF2D6F8F36}">
      <formula1>$R$2:$R$3</formula1>
    </dataValidation>
    <dataValidation type="list" allowBlank="1" showInputMessage="1" showErrorMessage="1" sqref="A35:C35" xr:uid="{44D5B16D-81BB-4633-A836-2DBE0850C77F}">
      <formula1>IF($A$34=$R$2,$R$5:$R$8,$R$9:$R$13)</formula1>
    </dataValidation>
  </dataValidations>
  <pageMargins left="0.78740157480314965" right="0.78740157480314965" top="0.52" bottom="0.54" header="0" footer="0"/>
  <pageSetup paperSize="9" scale="55" fitToHeight="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SUELO - ANALITICO</vt:lpstr>
      <vt:lpstr>'SUELO - ANALITICO'!Área_de_impresión</vt:lpstr>
    </vt:vector>
  </TitlesOfParts>
  <Company>Cemosa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Germán  López Pineda</cp:lastModifiedBy>
  <cp:lastPrinted>2007-04-20T12:11:01Z</cp:lastPrinted>
  <dcterms:created xsi:type="dcterms:W3CDTF">2005-10-11T07:12:18Z</dcterms:created>
  <dcterms:modified xsi:type="dcterms:W3CDTF">2026-02-20T20:36:00Z</dcterms:modified>
</cp:coreProperties>
</file>